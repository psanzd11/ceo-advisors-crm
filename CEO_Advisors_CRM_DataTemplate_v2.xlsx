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sanz\Desktop\Claudio\CEO Advisors CRM\"/>
    </mc:Choice>
  </mc:AlternateContent>
  <xr:revisionPtr revIDLastSave="0" documentId="13_ncr:1_{1A19B5C5-A0E2-4560-8338-EDEDCA2A277C}" xr6:coauthVersionLast="47" xr6:coauthVersionMax="47" xr10:uidLastSave="{00000000-0000-0000-0000-000000000000}"/>
  <bookViews>
    <workbookView xWindow="28680" yWindow="9960" windowWidth="29040" windowHeight="15720" activeTab="1" xr2:uid="{00000000-000D-0000-FFFF-FFFF00000000}"/>
  </bookViews>
  <sheets>
    <sheet name="📋 Instructions" sheetId="1" r:id="rId1"/>
    <sheet name="👥 Consultants" sheetId="2" r:id="rId2"/>
    <sheet name="🤝 Clients" sheetId="3" r:id="rId3"/>
    <sheet name="🏢 Companies" sheetId="4" r:id="rId4"/>
    <sheet name="💼 Deals" sheetId="5" r:id="rId5"/>
    <sheet name="📋 Activities" sheetId="6" r:id="rId6"/>
    <sheet name="🎓 Pupil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" i="7" l="1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<sst xmlns="http://schemas.openxmlformats.org/spreadsheetml/2006/main" count="1128" uniqueCount="659">
  <si>
    <t>CEO Advisors CRM — Plantilla de Datos (Schema v2026.05.1)</t>
  </si>
  <si>
    <t>Cómo rellenar:</t>
  </si>
  <si>
    <t>1. Las columnas con [REQUIRED] son obligatorias.</t>
  </si>
  <si>
    <t>2. La columna ID (A) se autogenera al rellenar la columna B (nombre/título). NO la edites manualmente.</t>
  </si>
  <si>
    <t>3. Las celdas de referencia entre hojas (Cliente, Empresa, Advisor) tienen DROPDOWN — selecciona desde la lista.</t>
  </si>
  <si>
    <t>4. Para Linked Client IDs (Companies) puedes poner varios separados por coma.</t>
  </si>
  <si>
    <t>5. Cuando termines, guarda y ejecuta:  python inject_data.py</t>
  </si>
  <si>
    <t>Schema version: v2026.05.1</t>
  </si>
  <si>
    <t>Ámbito de cada hoja:</t>
  </si>
  <si>
    <t xml:space="preserve">  • Consultants — equipo (CEO, partners, advisors).</t>
  </si>
  <si>
    <t xml:space="preserve">  • Clients — personas (clientes, prospects, leads).</t>
  </si>
  <si>
    <t xml:space="preserve">  • Companies — empresas (vinculadas a uno o varios clientes).</t>
  </si>
  <si>
    <t xml:space="preserve">  • Deals — oportunidades comerciales con splits de comisión.</t>
  </si>
  <si>
    <t xml:space="preserve">  • Activities — historial de calls, meetings, emails y tareas.</t>
  </si>
  <si>
    <t xml:space="preserve">  • Pupilos — internos/becarios con mentor. Si un pupilo también ejerce como consultor, créalo primero en Consultants y enlaza su 'Consultant ID' aquí.</t>
  </si>
  <si>
    <t>Validación:</t>
  </si>
  <si>
    <t xml:space="preserve">  • Pre-flight: el script aborta si encuentra IDs huérfanos, splits != 100%, IDs duplicados.</t>
  </si>
  <si>
    <t xml:space="preserve">  • Modo merge: python inject_data.py --merge --from export.json  (sólo añade IDs nuevos, no toca lo existente).</t>
  </si>
  <si>
    <t>CEO Advisors CRM Schema v2026.05.1</t>
  </si>
  <si>
    <t>↓ Fila de ejemplo abajo (eliminar antes de inyectar). El ID se autogenera al rellenar la columna B.</t>
  </si>
  <si>
    <t>ID (auto)</t>
  </si>
  <si>
    <t>Full Name [REQUIRED]</t>
  </si>
  <si>
    <t>Role [REQUIRED]</t>
  </si>
  <si>
    <t>Is CEO?</t>
  </si>
  <si>
    <t>Is Admin?</t>
  </si>
  <si>
    <t>Email [REQUIRED]</t>
  </si>
  <si>
    <t>Password [REQUIRED]</t>
  </si>
  <si>
    <t>Region</t>
  </si>
  <si>
    <t>Bio</t>
  </si>
  <si>
    <t>Roberto J. Arguello</t>
  </si>
  <si>
    <t>CEO</t>
  </si>
  <si>
    <t>Yes</t>
  </si>
  <si>
    <t>admin1234</t>
  </si>
  <si>
    <t>Global · all regions</t>
  </si>
  <si>
    <t>Founder &amp; CEO. Visión integral de la firma — único rol con acceso global a toda la cartera.</t>
  </si>
  <si>
    <t>Partner</t>
  </si>
  <si>
    <t>No</t>
  </si>
  <si>
    <t>demo1234</t>
  </si>
  <si>
    <t>LATAM</t>
  </si>
  <si>
    <t>Associate</t>
  </si>
  <si>
    <t>Cross-region support</t>
  </si>
  <si>
    <t>Modelaje, due diligence y soporte de execution.</t>
  </si>
  <si>
    <t>Sabrina Piantini</t>
  </si>
  <si>
    <t>Senior Partner</t>
  </si>
  <si>
    <t>SecurePass1!</t>
  </si>
  <si>
    <t>Iberia &amp; Global</t>
  </si>
  <si>
    <t>Senior Partner, 20+ years in M&amp;A and wealth management.</t>
  </si>
  <si>
    <t>Pablo Sanz</t>
  </si>
  <si>
    <t>pablo1234</t>
  </si>
  <si>
    <t>Senior Partner. 20+ años en M&amp;A y wealth management.</t>
  </si>
  <si>
    <t>Email</t>
  </si>
  <si>
    <t>Phone</t>
  </si>
  <si>
    <t>Country [REQUIRED]</t>
  </si>
  <si>
    <t>City</t>
  </si>
  <si>
    <t>Net Worth (USD)</t>
  </si>
  <si>
    <t>Lead Source</t>
  </si>
  <si>
    <t>Tier</t>
  </si>
  <si>
    <t>Notes</t>
  </si>
  <si>
    <t>Alejandro Vargas</t>
  </si>
  <si>
    <t>avargas@montera.com</t>
  </si>
  <si>
    <t>+34 611 234 567</t>
  </si>
  <si>
    <t>Spain</t>
  </si>
  <si>
    <t>Madrid</t>
  </si>
  <si>
    <t>Referral</t>
  </si>
  <si>
    <t>Empresario con foco en hospitality y retail en Iberia.</t>
  </si>
  <si>
    <t>Eleanor Whitfield</t>
  </si>
  <si>
    <t>ewhitfield@whitgroup.co.uk</t>
  </si>
  <si>
    <t>+44 20 7946 0815</t>
  </si>
  <si>
    <t>United Kingdom</t>
  </si>
  <si>
    <t>London</t>
  </si>
  <si>
    <t>Outbound</t>
  </si>
  <si>
    <t>Family office, 3ª generación. Mandato de diversificación internacional.</t>
  </si>
  <si>
    <t>Rafael Moreira</t>
  </si>
  <si>
    <t>rafael@moreiraco.com.br</t>
  </si>
  <si>
    <t>+55 11 98765 4321</t>
  </si>
  <si>
    <t>Brazil</t>
  </si>
  <si>
    <t>São Paulo</t>
  </si>
  <si>
    <t>Conference</t>
  </si>
  <si>
    <t>Fundador de empresa de logística — busca expansión a LATAM norte.</t>
  </si>
  <si>
    <t>Keiko Tanaka</t>
  </si>
  <si>
    <t>ktanaka@tanaka-hld.jp</t>
  </si>
  <si>
    <t>+81 3-1234-5678</t>
  </si>
  <si>
    <t>Japan</t>
  </si>
  <si>
    <t>Tokyo</t>
  </si>
  <si>
    <t>Presidenta de holding familiar de tech y real estate.</t>
  </si>
  <si>
    <t>Hassan Al-Farsi</t>
  </si>
  <si>
    <t>hassan@alfarsi-cap.ae</t>
  </si>
  <si>
    <t>+971 50 123 4567</t>
  </si>
  <si>
    <t>United Arab Emirates</t>
  </si>
  <si>
    <t>Dubai</t>
  </si>
  <si>
    <t>Inversor sovereign-adjacent. Interés en venture + private equity.</t>
  </si>
  <si>
    <t>Sophie Dubois</t>
  </si>
  <si>
    <t>sophie@duboisfam.fr</t>
  </si>
  <si>
    <t>+33 1 40 20 50 50</t>
  </si>
  <si>
    <t>France</t>
  </si>
  <si>
    <t>Paris</t>
  </si>
  <si>
    <t>Inbound</t>
  </si>
  <si>
    <t>Heredera con mandato ESG. Rechaza armas y tabaco.</t>
  </si>
  <si>
    <t>David Kirkpatrick</t>
  </si>
  <si>
    <t>dkirk@kirkventures.com</t>
  </si>
  <si>
    <t>+1 415 555 0183</t>
  </si>
  <si>
    <t>United States of America</t>
  </si>
  <si>
    <t>San Francisco</t>
  </si>
  <si>
    <t>Ex-fundador SaaS. Hoy ángel y LP en 4 fondos.</t>
  </si>
  <si>
    <t>Carlos Mendoza</t>
  </si>
  <si>
    <t>cmendoza@grupomendoza.mx</t>
  </si>
  <si>
    <t>+52 55 1234 5678</t>
  </si>
  <si>
    <t>Mexico</t>
  </si>
  <si>
    <t>Ciudad de México</t>
  </si>
  <si>
    <t>Industria alimentaria. Pensando en recap + entrada de PE.</t>
  </si>
  <si>
    <t>Ingrid Lindqvist</t>
  </si>
  <si>
    <t>ingrid@lindqvist-h.se</t>
  </si>
  <si>
    <t>+46 8 555 0123</t>
  </si>
  <si>
    <t>Sweden</t>
  </si>
  <si>
    <t>Stockholm</t>
  </si>
  <si>
    <t>Mandato inter-generacional. Hija se incorpora al consejo.</t>
  </si>
  <si>
    <t>Marcus Weber</t>
  </si>
  <si>
    <t>marcus@weber-industrie.de</t>
  </si>
  <si>
    <t>+49 89 12345678</t>
  </si>
  <si>
    <t>Germany</t>
  </si>
  <si>
    <t>Munich</t>
  </si>
  <si>
    <t>Mittelstand clásico. Evaluando sucesión.</t>
  </si>
  <si>
    <t>Priya Ramanathan</t>
  </si>
  <si>
    <t>priya@ramanathan-co.in</t>
  </si>
  <si>
    <t>+91 22 1234 5678</t>
  </si>
  <si>
    <t>India</t>
  </si>
  <si>
    <t>Mumbai</t>
  </si>
  <si>
    <t>Fintech founder. Serie D lista para levantar.</t>
  </si>
  <si>
    <t>Lucía Fernández</t>
  </si>
  <si>
    <t>lucia@fernandez-cap.ar</t>
  </si>
  <si>
    <t>+54 11 4321 9876</t>
  </si>
  <si>
    <t>Argentina</t>
  </si>
  <si>
    <t>Buenos Aires</t>
  </si>
  <si>
    <t>Agro + real estate. Buscando exposición USD.</t>
  </si>
  <si>
    <t>James Kgosi</t>
  </si>
  <si>
    <t>jkgosi@southafrica-gp.co.za</t>
  </si>
  <si>
    <t>+27 11 234 5678</t>
  </si>
  <si>
    <t>South Africa</t>
  </si>
  <si>
    <t>Johannesburg</t>
  </si>
  <si>
    <t>Mining + energía renovable.</t>
  </si>
  <si>
    <t>Michael Chen</t>
  </si>
  <si>
    <t>mchen@chenventures.sg</t>
  </si>
  <si>
    <t>+65 6123 4567</t>
  </si>
  <si>
    <t>Singapore</t>
  </si>
  <si>
    <t>Multi-family office. Asset allocation anual.</t>
  </si>
  <si>
    <t>Antonella Rizzo</t>
  </si>
  <si>
    <t>antonella@rizzo-group.it</t>
  </si>
  <si>
    <t>+39 02 1234 5678</t>
  </si>
  <si>
    <t>Italy</t>
  </si>
  <si>
    <t>Milan</t>
  </si>
  <si>
    <t>Moda de lujo. Explorando JV con grupo francés.</t>
  </si>
  <si>
    <t>Tomáš Procházka</t>
  </si>
  <si>
    <t>tomas@prochazka-inv.cz</t>
  </si>
  <si>
    <t>+420 234 567 890</t>
  </si>
  <si>
    <t>Czech Republic</t>
  </si>
  <si>
    <t>Prague</t>
  </si>
  <si>
    <t>Industrial automation. Pre-IPO.</t>
  </si>
  <si>
    <t>Patricia Sterling</t>
  </si>
  <si>
    <t>psterling@sterlingco.com</t>
  </si>
  <si>
    <t>+1 212 555 0144</t>
  </si>
  <si>
    <t>New York</t>
  </si>
  <si>
    <t>Private equity background. Cross-border deals.</t>
  </si>
  <si>
    <t>Robert Henderson</t>
  </si>
  <si>
    <t>rhenderson@henderson-h.com</t>
  </si>
  <si>
    <t>+1 305 555 0177</t>
  </si>
  <si>
    <t>Miami</t>
  </si>
  <si>
    <t>Real estate + LATAM exposure.</t>
  </si>
  <si>
    <t>Susan Morales</t>
  </si>
  <si>
    <t>smorales@morales-fo.com</t>
  </si>
  <si>
    <t>+1 310 555 0192</t>
  </si>
  <si>
    <t>Los Angeles</t>
  </si>
  <si>
    <t>Single family office, segunda generación.</t>
  </si>
  <si>
    <t>Gregory Walsh</t>
  </si>
  <si>
    <t>gwalsh@walshcap.com</t>
  </si>
  <si>
    <t>+1 617 555 0211</t>
  </si>
  <si>
    <t>Boston</t>
  </si>
  <si>
    <t>Healthcare PE. Evaluando exits.</t>
  </si>
  <si>
    <t>Charles Pemberton</t>
  </si>
  <si>
    <t>charles@pembertonfo.co.uk</t>
  </si>
  <si>
    <t>+44 131 555 0144</t>
  </si>
  <si>
    <t>Edinburgh</t>
  </si>
  <si>
    <t>Whisky + hospitality estate.</t>
  </si>
  <si>
    <t>Amelia Crossley</t>
  </si>
  <si>
    <t>amelia@crossley-group.co.uk</t>
  </si>
  <si>
    <t>+44 161 555 0166</t>
  </si>
  <si>
    <t>Manchester</t>
  </si>
  <si>
    <t>PropTech founder.</t>
  </si>
  <si>
    <t>Andreas Schmid</t>
  </si>
  <si>
    <t>aschmid@schmid-cap.ch</t>
  </si>
  <si>
    <t>+41 44 555 0188</t>
  </si>
  <si>
    <t>Switzerland</t>
  </si>
  <si>
    <t>Zurich</t>
  </si>
  <si>
    <t>Pharma heir. Mandato de diversificación geográfica.</t>
  </si>
  <si>
    <t>Camille Berger</t>
  </si>
  <si>
    <t>camille@berger-fo.ch</t>
  </si>
  <si>
    <t>+41 22 555 0199</t>
  </si>
  <si>
    <t>Geneva</t>
  </si>
  <si>
    <t>Family office multi-currency.</t>
  </si>
  <si>
    <t>Helga Schneider</t>
  </si>
  <si>
    <t>hschneider@schneider-h.de</t>
  </si>
  <si>
    <t>+49 69 555 0223</t>
  </si>
  <si>
    <t>Frankfurt</t>
  </si>
  <si>
    <t>Banking heritage. Wealth structuring.</t>
  </si>
  <si>
    <t>Jordi Puig</t>
  </si>
  <si>
    <t>jordi@puig-grup.es</t>
  </si>
  <si>
    <t>+34 93 555 0244</t>
  </si>
  <si>
    <t>Barcelona</t>
  </si>
  <si>
    <t>Tech + industrial. Evaluando spin-off.</t>
  </si>
  <si>
    <t>Margaret O'Sullivan</t>
  </si>
  <si>
    <t>mosullivan@osullivan-h.ca</t>
  </si>
  <si>
    <t>+1 416 555 0277</t>
  </si>
  <si>
    <t>Canada</t>
  </si>
  <si>
    <t>Toronto</t>
  </si>
  <si>
    <t>Mining heritage; transición a fondos.</t>
  </si>
  <si>
    <t>Liam Tremblay</t>
  </si>
  <si>
    <t>liam@tremblay-cap.ca</t>
  </si>
  <si>
    <t>+1 604 555 0288</t>
  </si>
  <si>
    <t>Vancouver</t>
  </si>
  <si>
    <t>Tech + Asia exposure.</t>
  </si>
  <si>
    <t>Olivia Bennett</t>
  </si>
  <si>
    <t>obennett@bennett-fo.com.au</t>
  </si>
  <si>
    <t>+61 2 5555 0299</t>
  </si>
  <si>
    <t>Australia</t>
  </si>
  <si>
    <t>Sydney</t>
  </si>
  <si>
    <t>Mining royalties + real estate.</t>
  </si>
  <si>
    <t>Khalid Al-Saud</t>
  </si>
  <si>
    <t>khalid@alsaud-inv.sa</t>
  </si>
  <si>
    <t>+966 11 555 0311</t>
  </si>
  <si>
    <t>Saudi Arabia</t>
  </si>
  <si>
    <t>Riyadh</t>
  </si>
  <si>
    <t>Vision 2030 aligned investments.</t>
  </si>
  <si>
    <t>Company Name [REQUIRED]</t>
  </si>
  <si>
    <t>Industry</t>
  </si>
  <si>
    <t>Country</t>
  </si>
  <si>
    <t>Employees</t>
  </si>
  <si>
    <t>Website</t>
  </si>
  <si>
    <t>Linked Client ID(s)</t>
  </si>
  <si>
    <t>Montera Hospitality Group</t>
  </si>
  <si>
    <t>Hospitality</t>
  </si>
  <si>
    <t>montera.com</t>
  </si>
  <si>
    <t>c1</t>
  </si>
  <si>
    <t>Vargas Retail SL</t>
  </si>
  <si>
    <t>Retail</t>
  </si>
  <si>
    <t>vargasretail.es</t>
  </si>
  <si>
    <t>Whitfield Capital Ltd</t>
  </si>
  <si>
    <t>Family Office</t>
  </si>
  <si>
    <t>whitfieldcap.co.uk</t>
  </si>
  <si>
    <t>c2</t>
  </si>
  <si>
    <t>Moreira Logística SA</t>
  </si>
  <si>
    <t>Logistics</t>
  </si>
  <si>
    <t>moreiralogistica.com.br</t>
  </si>
  <si>
    <t>c3</t>
  </si>
  <si>
    <t>Tanaka Holdings KK</t>
  </si>
  <si>
    <t>Conglomerate</t>
  </si>
  <si>
    <t>tanaka-hld.jp</t>
  </si>
  <si>
    <t>c4</t>
  </si>
  <si>
    <t>Al-Farsi Capital</t>
  </si>
  <si>
    <t>Private Equity</t>
  </si>
  <si>
    <t>alfarsi-cap.ae</t>
  </si>
  <si>
    <t>c5</t>
  </si>
  <si>
    <t>Dubois Invest SAS</t>
  </si>
  <si>
    <t>dubois-invest.fr</t>
  </si>
  <si>
    <t>c6</t>
  </si>
  <si>
    <t>Kirkpatrick Ventures</t>
  </si>
  <si>
    <t>Venture Capital</t>
  </si>
  <si>
    <t>kirkventures.com</t>
  </si>
  <si>
    <t>c7</t>
  </si>
  <si>
    <t>Grupo Mendoza</t>
  </si>
  <si>
    <t>Food &amp; Beverage</t>
  </si>
  <si>
    <t>grupomendoza.mx</t>
  </si>
  <si>
    <t>c8</t>
  </si>
  <si>
    <t>Lindqvist Holdings AB</t>
  </si>
  <si>
    <t>Diversified</t>
  </si>
  <si>
    <t>lindqvist-h.se</t>
  </si>
  <si>
    <t>c9</t>
  </si>
  <si>
    <t>Weber Industrie GmbH</t>
  </si>
  <si>
    <t>Manufacturing</t>
  </si>
  <si>
    <t>weber-industrie.de</t>
  </si>
  <si>
    <t>c10</t>
  </si>
  <si>
    <t>Ramanathan Fintech</t>
  </si>
  <si>
    <t>Fintech</t>
  </si>
  <si>
    <t>ramanathan-co.in</t>
  </si>
  <si>
    <t>c11</t>
  </si>
  <si>
    <t>Fernández Agro SA</t>
  </si>
  <si>
    <t>Agriculture</t>
  </si>
  <si>
    <t>fernandez-agro.ar</t>
  </si>
  <si>
    <t>c12</t>
  </si>
  <si>
    <t>Kgosi Energy Partners</t>
  </si>
  <si>
    <t>Energy</t>
  </si>
  <si>
    <t>kgosi-energy.co.za</t>
  </si>
  <si>
    <t>c13</t>
  </si>
  <si>
    <t>Chen Multi Family Office</t>
  </si>
  <si>
    <t>chenventures.sg</t>
  </si>
  <si>
    <t>c14</t>
  </si>
  <si>
    <t>Rizzo Moda Group</t>
  </si>
  <si>
    <t>Luxury Fashion</t>
  </si>
  <si>
    <t>rizzo-group.it</t>
  </si>
  <si>
    <t>c15</t>
  </si>
  <si>
    <t>Prochazka Industrial</t>
  </si>
  <si>
    <t>Automation</t>
  </si>
  <si>
    <t>prochazka-inv.cz</t>
  </si>
  <si>
    <t>c16</t>
  </si>
  <si>
    <t>Tanaka Realty</t>
  </si>
  <si>
    <t>Real Estate</t>
  </si>
  <si>
    <t>tanaka-realty.jp</t>
  </si>
  <si>
    <t>Sterling Cross-Border</t>
  </si>
  <si>
    <t>sterlingco.com</t>
  </si>
  <si>
    <t>c17</t>
  </si>
  <si>
    <t>Henderson Real Estate</t>
  </si>
  <si>
    <t>henderson-h.com</t>
  </si>
  <si>
    <t>c18</t>
  </si>
  <si>
    <t>Pemberton Estates</t>
  </si>
  <si>
    <t>pembertonfo.co.uk</t>
  </si>
  <si>
    <t>c21</t>
  </si>
  <si>
    <t>Schmid Capital AG</t>
  </si>
  <si>
    <t>schmid-cap.ch</t>
  </si>
  <si>
    <t>c23</t>
  </si>
  <si>
    <t>Schneider Holdings</t>
  </si>
  <si>
    <t>Banking</t>
  </si>
  <si>
    <t>schneider-h.de</t>
  </si>
  <si>
    <t>c25</t>
  </si>
  <si>
    <t>O'Sullivan Mining Trust</t>
  </si>
  <si>
    <t>Mining</t>
  </si>
  <si>
    <t>osullivan-h.ca</t>
  </si>
  <si>
    <t>c27</t>
  </si>
  <si>
    <t>Al-Saud Investments</t>
  </si>
  <si>
    <t>Sovereign-adjacent</t>
  </si>
  <si>
    <t>alsaud-inv.sa</t>
  </si>
  <si>
    <t>c30</t>
  </si>
  <si>
    <t>Deal Title [REQUIRED]</t>
  </si>
  <si>
    <t>Client ID [REQUIRED]</t>
  </si>
  <si>
    <t>Company ID</t>
  </si>
  <si>
    <t>Type [REQUIRED]</t>
  </si>
  <si>
    <t>Stage [REQUIRED]</t>
  </si>
  <si>
    <t>Amount (USD)</t>
  </si>
  <si>
    <t>Expected Close Date</t>
  </si>
  <si>
    <t>Created Date</t>
  </si>
  <si>
    <t>Advisor 1 ID [REQUIRED]</t>
  </si>
  <si>
    <t>Advisor 1 %</t>
  </si>
  <si>
    <t>Advisor 2 ID</t>
  </si>
  <si>
    <t>Advisor 2 %</t>
  </si>
  <si>
    <t>Advisor 3 ID</t>
  </si>
  <si>
    <t>Advisor 3 %</t>
  </si>
  <si>
    <t>Expansión Montera — Portugal</t>
  </si>
  <si>
    <t>co1</t>
  </si>
  <si>
    <t>expand</t>
  </si>
  <si>
    <t>qualified</t>
  </si>
  <si>
    <t>2026-06-22</t>
  </si>
  <si>
    <t>2026-04-05</t>
  </si>
  <si>
    <t>u1</t>
  </si>
  <si>
    <t>u2</t>
  </si>
  <si>
    <t>Advisory retail post-pandemia</t>
  </si>
  <si>
    <t>co2</t>
  </si>
  <si>
    <t>advise</t>
  </si>
  <si>
    <t>proposal</t>
  </si>
  <si>
    <t>2026-05-13</t>
  </si>
  <si>
    <t>2026-03-20</t>
  </si>
  <si>
    <t>Wealth Mgmt Q3 allocation</t>
  </si>
  <si>
    <t>co3</t>
  </si>
  <si>
    <t>wealth</t>
  </si>
  <si>
    <t>won</t>
  </si>
  <si>
    <t>2026-04-11</t>
  </si>
  <si>
    <t>2026-02-20</t>
  </si>
  <si>
    <t>u3</t>
  </si>
  <si>
    <t>Wealth Mgmt Q4 re-balance</t>
  </si>
  <si>
    <t>negotiation</t>
  </si>
  <si>
    <t>2026-05-08</t>
  </si>
  <si>
    <t>2026-04-15</t>
  </si>
  <si>
    <t>Venta participación secundaria</t>
  </si>
  <si>
    <t>sale</t>
  </si>
  <si>
    <t>prospect</t>
  </si>
  <si>
    <t>2026-08-21</t>
  </si>
  <si>
    <t>2026-04-20</t>
  </si>
  <si>
    <t>Financiamiento flota LATAM</t>
  </si>
  <si>
    <t>co4</t>
  </si>
  <si>
    <t>finance</t>
  </si>
  <si>
    <t>2026-05-28</t>
  </si>
  <si>
    <t>2026-04-01</t>
  </si>
  <si>
    <t>u5</t>
  </si>
  <si>
    <t>Venta Tanaka Realty</t>
  </si>
  <si>
    <t>co18</t>
  </si>
  <si>
    <t>2026-06-07</t>
  </si>
  <si>
    <t>2026-02-27</t>
  </si>
  <si>
    <t>u4</t>
  </si>
  <si>
    <t>Expansión Tanaka Holdings APAC</t>
  </si>
  <si>
    <t>co5</t>
  </si>
  <si>
    <t>2026-07-12</t>
  </si>
  <si>
    <t>Wealth Mgmt — programa 2025</t>
  </si>
  <si>
    <t>co6</t>
  </si>
  <si>
    <t>2026-01-23</t>
  </si>
  <si>
    <t>2025-12-04</t>
  </si>
  <si>
    <t>Wealth Mgmt — programa 2026</t>
  </si>
  <si>
    <t>2026-06-02</t>
  </si>
  <si>
    <t>2026-04-18</t>
  </si>
  <si>
    <t>Financiamiento deal co-invest</t>
  </si>
  <si>
    <t>2026-07-22</t>
  </si>
  <si>
    <t>2026-04-13</t>
  </si>
  <si>
    <t>Advisory ESG framework</t>
  </si>
  <si>
    <t>co7</t>
  </si>
  <si>
    <t>2026-03-09</t>
  </si>
  <si>
    <t>2025-12-24</t>
  </si>
  <si>
    <t>Advisory sucesión familiar</t>
  </si>
  <si>
    <t>2026-06-17</t>
  </si>
  <si>
    <t>2026-04-09</t>
  </si>
  <si>
    <t>Venta portfolio SaaS</t>
  </si>
  <si>
    <t>co8</t>
  </si>
  <si>
    <t>2026-05-23</t>
  </si>
  <si>
    <t>2026-02-12</t>
  </si>
  <si>
    <t>Recap Grupo Mendoza</t>
  </si>
  <si>
    <t>co9</t>
  </si>
  <si>
    <t>2026-09-20</t>
  </si>
  <si>
    <t>2026-04-17</t>
  </si>
  <si>
    <t>Venta minoritaria a PE</t>
  </si>
  <si>
    <t>2026-04-03</t>
  </si>
  <si>
    <t>Wealth Mgmt inter-gen.</t>
  </si>
  <si>
    <t>co10</t>
  </si>
  <si>
    <t>2026-05-21</t>
  </si>
  <si>
    <t>2026-04-12</t>
  </si>
  <si>
    <t>Advisory sucesión</t>
  </si>
  <si>
    <t>co11</t>
  </si>
  <si>
    <t>2026-05-15</t>
  </si>
  <si>
    <t>2026-03-30</t>
  </si>
  <si>
    <t>Venta planta sur</t>
  </si>
  <si>
    <t>2026-10-20</t>
  </si>
  <si>
    <t>2026-04-21</t>
  </si>
  <si>
    <t>Financiamiento Serie D</t>
  </si>
  <si>
    <t>co12</t>
  </si>
  <si>
    <t>2026-03-14</t>
  </si>
  <si>
    <t>Advisory estructura USD</t>
  </si>
  <si>
    <t>co13</t>
  </si>
  <si>
    <t>lost</t>
  </si>
  <si>
    <t>2026-03-24</t>
  </si>
  <si>
    <t>2026-02-02</t>
  </si>
  <si>
    <t>Wealth Mgmt dólar-linked</t>
  </si>
  <si>
    <t>2026-04-16</t>
  </si>
  <si>
    <t>Financiamiento Mozambique</t>
  </si>
  <si>
    <t>co14</t>
  </si>
  <si>
    <t>Wealth Mgmt annual review</t>
  </si>
  <si>
    <t>co15</t>
  </si>
  <si>
    <t>Wealth Mgmt fresh capital</t>
  </si>
  <si>
    <t>2026-06-12</t>
  </si>
  <si>
    <t>2026-04-14</t>
  </si>
  <si>
    <t>Expansión JV Francia</t>
  </si>
  <si>
    <t>co16</t>
  </si>
  <si>
    <t>2026-07-07</t>
  </si>
  <si>
    <t>2026-04-07</t>
  </si>
  <si>
    <t>Advisory pre-IPO</t>
  </si>
  <si>
    <t>co17</t>
  </si>
  <si>
    <t>2026-05-18</t>
  </si>
  <si>
    <t>2026-04-04</t>
  </si>
  <si>
    <t>Sterling cross-border deal</t>
  </si>
  <si>
    <t>co19</t>
  </si>
  <si>
    <t>2026-03-26</t>
  </si>
  <si>
    <t>Henderson real estate fund</t>
  </si>
  <si>
    <t>co20</t>
  </si>
  <si>
    <t>2026-04-08</t>
  </si>
  <si>
    <t>Morales — wealth review</t>
  </si>
  <si>
    <t>c19</t>
  </si>
  <si>
    <t>2026-01-18</t>
  </si>
  <si>
    <t>Walsh healthcare exit</t>
  </si>
  <si>
    <t>c20</t>
  </si>
  <si>
    <t>2026-08-11</t>
  </si>
  <si>
    <t>Pemberton estate financing</t>
  </si>
  <si>
    <t>co21</t>
  </si>
  <si>
    <t>Crossley PropTech advisory</t>
  </si>
  <si>
    <t>c22</t>
  </si>
  <si>
    <t>Schmid wealth diversification</t>
  </si>
  <si>
    <t>co22</t>
  </si>
  <si>
    <t>Schmid pharma exit advisory</t>
  </si>
  <si>
    <t>2026-04-19</t>
  </si>
  <si>
    <t>Berger multi-currency mandate</t>
  </si>
  <si>
    <t>c24</t>
  </si>
  <si>
    <t>2026-01-03</t>
  </si>
  <si>
    <t>Schneider wealth structuring</t>
  </si>
  <si>
    <t>co23</t>
  </si>
  <si>
    <t>2026-04-10</t>
  </si>
  <si>
    <t>Puig spin-off advisory</t>
  </si>
  <si>
    <t>c26</t>
  </si>
  <si>
    <t>2026-04-06</t>
  </si>
  <si>
    <t>O'Sullivan fund transition</t>
  </si>
  <si>
    <t>co24</t>
  </si>
  <si>
    <t>2026-03-19</t>
  </si>
  <si>
    <t>Tremblay APAC exposure</t>
  </si>
  <si>
    <t>c28</t>
  </si>
  <si>
    <t>Bennett mining royalties wealth</t>
  </si>
  <si>
    <t>c29</t>
  </si>
  <si>
    <t>Al-Saud Vision 2030 mandate</t>
  </si>
  <si>
    <t>co25</t>
  </si>
  <si>
    <t>2026-05-11</t>
  </si>
  <si>
    <t>2026-03-29</t>
  </si>
  <si>
    <t>Al-Saud co-invest opportunity</t>
  </si>
  <si>
    <t>Date [YYYY-MM-DD]</t>
  </si>
  <si>
    <t>Client ID</t>
  </si>
  <si>
    <t>Deal ID</t>
  </si>
  <si>
    <t>Title [REQUIRED]</t>
  </si>
  <si>
    <t>Done?</t>
  </si>
  <si>
    <t>Created By [REQUIRED]</t>
  </si>
  <si>
    <t>meeting</t>
  </si>
  <si>
    <t>d1</t>
  </si>
  <si>
    <t>Reunión presencial en Madrid</t>
  </si>
  <si>
    <t>Discussion sobre rollout en Portugal — visitas pendientes.</t>
  </si>
  <si>
    <t>call</t>
  </si>
  <si>
    <t>d2</t>
  </si>
  <si>
    <t>Call de seguimiento retail</t>
  </si>
  <si>
    <t>Cliente pide ajustar scope al 60%.</t>
  </si>
  <si>
    <t>email</t>
  </si>
  <si>
    <t>2026-04-22</t>
  </si>
  <si>
    <t>d4</t>
  </si>
  <si>
    <t>Propuesta Q4 re-balance</t>
  </si>
  <si>
    <t>Enviado deck + ILAP.</t>
  </si>
  <si>
    <t>Board call Whitfield</t>
  </si>
  <si>
    <t>Revisión de performance 2025.</t>
  </si>
  <si>
    <t>task</t>
  </si>
  <si>
    <t>2026-04-26</t>
  </si>
  <si>
    <t>d6</t>
  </si>
  <si>
    <t>Preparar term-sheet Moreira</t>
  </si>
  <si>
    <t>Incluir escenarios FX.</t>
  </si>
  <si>
    <t>Tokio — visita Tanaka</t>
  </si>
  <si>
    <t>Compromiso sobre due-diligence de Realty.</t>
  </si>
  <si>
    <t>note</t>
  </si>
  <si>
    <t>d7</t>
  </si>
  <si>
    <t>Due diligence Realty iniciada</t>
  </si>
  <si>
    <t>VDR abierto con KPMG.</t>
  </si>
  <si>
    <t>d10</t>
  </si>
  <si>
    <t>Update Al-Farsi wealth 2026</t>
  </si>
  <si>
    <t>Aprobación verbal sujeto a IC.</t>
  </si>
  <si>
    <t>d12</t>
  </si>
  <si>
    <t>Framework ESG — entrega final</t>
  </si>
  <si>
    <t>Cerrado y facturado.</t>
  </si>
  <si>
    <t>2026-04-29</t>
  </si>
  <si>
    <t>d14</t>
  </si>
  <si>
    <t>Negociación Kirkpatrick</t>
  </si>
  <si>
    <t>Cierre de condiciones price / earn-out.</t>
  </si>
  <si>
    <t>2026-04-25</t>
  </si>
  <si>
    <t>d15</t>
  </si>
  <si>
    <t>Enviar modelo recap Mendoza</t>
  </si>
  <si>
    <t>d20</t>
  </si>
  <si>
    <t>Ramanathan — term sheet revisado</t>
  </si>
  <si>
    <t>Leading investor alineado.</t>
  </si>
  <si>
    <t>d21</t>
  </si>
  <si>
    <t>Feedback Fernández — rechazo</t>
  </si>
  <si>
    <t>Decidió no avanzar esta ronda.</t>
  </si>
  <si>
    <t>2026-05-02</t>
  </si>
  <si>
    <t>d26</t>
  </si>
  <si>
    <t>Rizzo — reunión con socio francés</t>
  </si>
  <si>
    <t>d24</t>
  </si>
  <si>
    <t>Chen — annual review</t>
  </si>
  <si>
    <t>Cerrado. Iniciamos d25.</t>
  </si>
  <si>
    <t>2026-05-07</t>
  </si>
  <si>
    <t>d19</t>
  </si>
  <si>
    <t>Borrador IM Weber planta sur</t>
  </si>
  <si>
    <t>2026-04-24</t>
  </si>
  <si>
    <t>d13</t>
  </si>
  <si>
    <t>Kick-off sucesión Dubois</t>
  </si>
  <si>
    <t>Invitar a asesor legal.</t>
  </si>
  <si>
    <t>2026-04-27</t>
  </si>
  <si>
    <t>d42</t>
  </si>
  <si>
    <t>Riyadh — reunión Al-Saud</t>
  </si>
  <si>
    <t>Agenda: Vision 2030 + co-invest pipeline.</t>
  </si>
  <si>
    <t>d34</t>
  </si>
  <si>
    <t>Schmid — diversificación CHF→USD</t>
  </si>
  <si>
    <t>d28</t>
  </si>
  <si>
    <t>Sterling — IC memo</t>
  </si>
  <si>
    <t>Enviado IC memo + DCF.</t>
  </si>
  <si>
    <t>↓ Para pupilos que también ejercen como consultores: crea primero su fila en '👥 Consultants', luego selecciona ese ID en la columna 'Consultant ID' aquí.</t>
  </si>
  <si>
    <t>University</t>
  </si>
  <si>
    <t>Program</t>
  </si>
  <si>
    <t>Start Date [YYYY-MM-DD]</t>
  </si>
  <si>
    <t>End Date [YYYY-MM-DD]</t>
  </si>
  <si>
    <t>Mentor ID [REQUIRED]</t>
  </si>
  <si>
    <t>Consultant ID (si también es consultor)</t>
  </si>
  <si>
    <t>Left Company (si graduado)</t>
  </si>
  <si>
    <t>Left Role (si graduado)</t>
  </si>
  <si>
    <t>CV File (relativo a pupilo_docs/)</t>
  </si>
  <si>
    <t>Diego Gutierrez</t>
  </si>
  <si>
    <t>diegogutigiamma@gmail.com</t>
  </si>
  <si>
    <t>Bentley University</t>
  </si>
  <si>
    <t>BS Finance &amp; Entrepreneurship</t>
  </si>
  <si>
    <t>2026-07-28</t>
  </si>
  <si>
    <t>Central America</t>
  </si>
  <si>
    <t>Honors Program (top 10%) y Dean's List 22-25 (GPA 3.47). Experiencia previa: N1CO (Financial Analyst Intern), Hugo App (BA Intern), Termoflex (Plant Manager Intern), Founder e-commerce &gt;$20K. Background fintech / El Salvador.</t>
  </si>
  <si>
    <t>Diego_Gutierrez_CV.pdf</t>
  </si>
  <si>
    <t>Carlos Siman</t>
  </si>
  <si>
    <t>casiman6@gmail.com</t>
  </si>
  <si>
    <t>Texas A&amp;M University</t>
  </si>
  <si>
    <t>BS Industrial Engineering, minor Project Mgmt</t>
  </si>
  <si>
    <t>u8</t>
  </si>
  <si>
    <t>GPA 3.65. Experiencia en Inversisa (Supply Chain + Financial Analyst Intern, Colombia). Skills: Excel, Tableau, Power BI, SolidWorks, Python, VBA. Triangle Fraternity Founding Father. Bilingüe ES/EN.</t>
  </si>
  <si>
    <t>Carlos_Siman_CV.pdf</t>
  </si>
  <si>
    <t>Sofia Travesario</t>
  </si>
  <si>
    <t>traversarisofia@gmail.com</t>
  </si>
  <si>
    <t>Syracuse University</t>
  </si>
  <si>
    <t>BA Sociology, minor Communications &amp; Rhetorical Studies</t>
  </si>
  <si>
    <t>2026-07-06</t>
  </si>
  <si>
    <t>2026-08-03</t>
  </si>
  <si>
    <t>u9</t>
  </si>
  <si>
    <t>Global</t>
  </si>
  <si>
    <t>Background marketing y branding: Tammy Kay Ly &amp; The Society (Brand Strategy), The Sitch Magazine (Editorial Intern), That Flower Feeling (TikTok content). Founder de blog 'The Scoop'. Bilingüe EN/ES.</t>
  </si>
  <si>
    <t>Sofia_Traversari_CV.pdf</t>
  </si>
  <si>
    <t>Zack Denburg</t>
  </si>
  <si>
    <t>zdenburg@falcon.bentley.edu</t>
  </si>
  <si>
    <t>BS Management, Concentration Entrepreneurship</t>
  </si>
  <si>
    <t>Experiencia en Seeri (Market Development Guatemala — AI WhatsApp B2B) y Zigi App (BD Intern fintech). Background en outreach SME y benchmarking. President Maccabi Hatzair Guatemala 2020-21. Network sólido en Centroamérica.</t>
  </si>
  <si>
    <t>Zackary_Denburg_CV.pdf</t>
  </si>
  <si>
    <t>Carolina Crippa</t>
  </si>
  <si>
    <t>Caromcrippa@gmail.com</t>
  </si>
  <si>
    <t>Babson College</t>
  </si>
  <si>
    <t>BS Business Administration</t>
  </si>
  <si>
    <t>2026-06-08</t>
  </si>
  <si>
    <t>2026-07-08</t>
  </si>
  <si>
    <t>Dean's List. Experiencia en Claimpay/Manufactured Home Partners (operaciones + marketing — cerró 6 deals) y Terrabank (Intern). Skills: Canva, Brand Development. Bilingüe ES/EN. Conexiones en Miami y Nicaragua.</t>
  </si>
  <si>
    <t>Carolina_Crippa_CV.pdf</t>
  </si>
  <si>
    <t>Marcelo Estrada</t>
  </si>
  <si>
    <t>estrma01@gettysburg.edu</t>
  </si>
  <si>
    <t>Gettysburg College</t>
  </si>
  <si>
    <t>BS Mathematical Economics, minor Data Science</t>
  </si>
  <si>
    <t>2026-06-15</t>
  </si>
  <si>
    <t>2026-08-15</t>
  </si>
  <si>
    <t>GPA 3.04. Asset Management Enterprises Club + Economics Club (2024-2027). Skills: Excel, Python, fluent Spanish.</t>
  </si>
  <si>
    <t>Marcelo_Estrada_CV.pdf</t>
  </si>
  <si>
    <t>Ana Rosania</t>
  </si>
  <si>
    <t>anaprosania@gmail.com</t>
  </si>
  <si>
    <t>Florida State University</t>
  </si>
  <si>
    <t>BS Psychology</t>
  </si>
  <si>
    <t>2026-06-01</t>
  </si>
  <si>
    <t>GPA 3.6. Dean's List + President's List. Internship en BAC Credomatic (HR Intern, Panamá). Research Assistant en Florida Center for Reading Research. Bilingüe ES/EN.</t>
  </si>
  <si>
    <t>Ana_Rosania_CV.pdf</t>
  </si>
  <si>
    <t>Santiago Salome</t>
  </si>
  <si>
    <t>ssalameulloa@falcon.bentley.edu</t>
  </si>
  <si>
    <t>BS Finance, minors Business Administration + Entrepreneurship</t>
  </si>
  <si>
    <t>2026-06-19</t>
  </si>
  <si>
    <t>GPA 3.57, President's List + Dean's List. Banco Comercial de Manabi (Financial/Commercial Intern — drove 10% revenue uplift), Hispana de Seguros (Insurance Intern + Negotiator Lloyd's London). Background banking/insurance Ecuador.</t>
  </si>
  <si>
    <t>Santiago_Salame_CV.docx</t>
  </si>
  <si>
    <t>Maria Teresa Charles</t>
  </si>
  <si>
    <t>Mcharles@loyno.edu</t>
  </si>
  <si>
    <t>Loyola University New Orleans</t>
  </si>
  <si>
    <t>BBA Marketing + Business Analytics</t>
  </si>
  <si>
    <t>2026-06-26</t>
  </si>
  <si>
    <t>Doble major Marketing/Business Analytics. Marketing Intern en Fertilizantes Superiores (Panamá — campañas, social media, sales reports). Skills: Excel avanzado, Canva, Photoshop, Power BI. Bilingüe ES/EN.</t>
  </si>
  <si>
    <t>Maria_Charles_CV.docx</t>
  </si>
  <si>
    <t>Alejandra Bermudez</t>
  </si>
  <si>
    <t>2026-06-24</t>
  </si>
  <si>
    <t>2026-06-25</t>
  </si>
  <si>
    <t>Shelley Wang</t>
  </si>
  <si>
    <t>shelleywang26@g.ucla.edu</t>
  </si>
  <si>
    <t>UCLA</t>
  </si>
  <si>
    <t>2026-08-01</t>
  </si>
  <si>
    <t>2026-09-08</t>
  </si>
  <si>
    <t>China, United States</t>
  </si>
  <si>
    <t>Santiago Ballestas</t>
  </si>
  <si>
    <t>Roberto Chavarria</t>
  </si>
  <si>
    <t>Jan Piantini</t>
  </si>
  <si>
    <t>rjarguello@ceoadvisors.us</t>
  </si>
  <si>
    <t>jpiantini@ceoadvisors.us</t>
  </si>
  <si>
    <t>spiantini@ceoadvisors.us</t>
  </si>
  <si>
    <t>rhchavarria@ceoadvisors.us</t>
  </si>
  <si>
    <t>sballestas@ceoadvisors.us</t>
  </si>
  <si>
    <t>p.sanz.d11@gmail.com</t>
  </si>
  <si>
    <t>BS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</si>
</sst>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1F4E78"/>
      <name val="Calibri"/>
      <family val="2"/>
    </font>
    <font>
      <i/>
      <sz val="11"/>
      <color rgb="FF888888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piantini@ceoadvisors.us" TargetMode="External"/><Relationship Id="rId2" Type="http://schemas.openxmlformats.org/officeDocument/2006/relationships/hyperlink" Target="mailto:jpiantini@ceoadvisors.us" TargetMode="External"/><Relationship Id="rId1" Type="http://schemas.openxmlformats.org/officeDocument/2006/relationships/hyperlink" Target="mailto:rjarguello@ceoadvisors.us" TargetMode="External"/><Relationship Id="rId6" Type="http://schemas.openxmlformats.org/officeDocument/2006/relationships/hyperlink" Target="mailto:p.sanz.d11@gmail.com" TargetMode="External"/><Relationship Id="rId5" Type="http://schemas.openxmlformats.org/officeDocument/2006/relationships/hyperlink" Target="mailto:sballestas@ceoadvisors.us" TargetMode="External"/><Relationship Id="rId4" Type="http://schemas.openxmlformats.org/officeDocument/2006/relationships/hyperlink" Target="mailto:rhchavarria@ceoadvisors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16" sqref="A16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x14ac:dyDescent="0.35">
      <c r="A10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6"/>
  <sheetViews>
    <sheetView tabSelected="1" zoomScale="115" zoomScaleNormal="115" workbookViewId="0">
      <selection activeCell="F14" sqref="F14"/>
    </sheetView>
  </sheetViews>
  <sheetFormatPr defaultRowHeight="14.5" x14ac:dyDescent="0.35"/>
  <cols>
    <col min="1" max="1" width="10" customWidth="1"/>
    <col min="2" max="2" width="26" customWidth="1"/>
    <col min="3" max="3" width="22" customWidth="1"/>
    <col min="4" max="5" width="10" customWidth="1"/>
    <col min="6" max="6" width="30" customWidth="1"/>
    <col min="7" max="7" width="18" customWidth="1"/>
    <col min="8" max="8" width="22" customWidth="1"/>
    <col min="9" max="9" width="50" customWidth="1"/>
  </cols>
  <sheetData>
    <row r="1" spans="1:9" x14ac:dyDescent="0.35">
      <c r="A1" s="2" t="s">
        <v>18</v>
      </c>
    </row>
    <row r="2" spans="1:9" x14ac:dyDescent="0.35">
      <c r="B2" s="3" t="s">
        <v>19</v>
      </c>
    </row>
    <row r="3" spans="1:9" ht="32" customHeight="1" x14ac:dyDescent="0.3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spans="1:9" x14ac:dyDescent="0.35">
      <c r="A4" t="str">
        <f t="shared" ref="A4:A31" si="0">IF(B4="","","u"&amp;ROW()-3)</f>
        <v>u1</v>
      </c>
      <c r="B4" t="s">
        <v>29</v>
      </c>
      <c r="C4" t="s">
        <v>30</v>
      </c>
      <c r="D4" t="s">
        <v>31</v>
      </c>
      <c r="E4" t="s">
        <v>31</v>
      </c>
      <c r="F4" s="5" t="s">
        <v>652</v>
      </c>
      <c r="G4" t="s">
        <v>32</v>
      </c>
      <c r="H4" t="s">
        <v>33</v>
      </c>
      <c r="I4" t="s">
        <v>34</v>
      </c>
    </row>
    <row r="5" spans="1:9" x14ac:dyDescent="0.35">
      <c r="A5" t="str">
        <f t="shared" si="0"/>
        <v>u2</v>
      </c>
      <c r="B5" t="s">
        <v>651</v>
      </c>
      <c r="C5" t="s">
        <v>39</v>
      </c>
      <c r="D5" t="s">
        <v>36</v>
      </c>
      <c r="E5" t="s">
        <v>36</v>
      </c>
      <c r="F5" s="5" t="s">
        <v>653</v>
      </c>
      <c r="G5" t="s">
        <v>37</v>
      </c>
      <c r="H5" t="s">
        <v>40</v>
      </c>
      <c r="I5" t="s">
        <v>41</v>
      </c>
    </row>
    <row r="6" spans="1:9" x14ac:dyDescent="0.35">
      <c r="A6" t="str">
        <f t="shared" si="0"/>
        <v>u3</v>
      </c>
      <c r="B6" t="s">
        <v>42</v>
      </c>
      <c r="C6" t="s">
        <v>43</v>
      </c>
      <c r="D6" t="s">
        <v>36</v>
      </c>
      <c r="E6" t="s">
        <v>36</v>
      </c>
      <c r="F6" s="5" t="s">
        <v>654</v>
      </c>
      <c r="G6" t="s">
        <v>44</v>
      </c>
      <c r="H6" t="s">
        <v>45</v>
      </c>
      <c r="I6" t="s">
        <v>46</v>
      </c>
    </row>
    <row r="7" spans="1:9" x14ac:dyDescent="0.35">
      <c r="A7" t="str">
        <f t="shared" si="0"/>
        <v>u4</v>
      </c>
      <c r="B7" t="s">
        <v>650</v>
      </c>
      <c r="C7" t="s">
        <v>43</v>
      </c>
      <c r="D7" t="s">
        <v>36</v>
      </c>
      <c r="E7" t="s">
        <v>36</v>
      </c>
      <c r="F7" s="5" t="s">
        <v>655</v>
      </c>
      <c r="G7" t="s">
        <v>44</v>
      </c>
      <c r="H7" t="s">
        <v>45</v>
      </c>
      <c r="I7" t="s">
        <v>46</v>
      </c>
    </row>
    <row r="8" spans="1:9" x14ac:dyDescent="0.35">
      <c r="A8" t="str">
        <f t="shared" si="0"/>
        <v>u5</v>
      </c>
      <c r="B8" t="s">
        <v>649</v>
      </c>
      <c r="C8" t="s">
        <v>43</v>
      </c>
      <c r="D8" t="s">
        <v>36</v>
      </c>
      <c r="E8" t="s">
        <v>36</v>
      </c>
      <c r="F8" s="5" t="s">
        <v>656</v>
      </c>
      <c r="G8" t="s">
        <v>44</v>
      </c>
      <c r="H8" t="s">
        <v>45</v>
      </c>
      <c r="I8" t="s">
        <v>46</v>
      </c>
    </row>
    <row r="9" spans="1:9" x14ac:dyDescent="0.35">
      <c r="A9" t="str">
        <f t="shared" si="0"/>
        <v>u6</v>
      </c>
      <c r="B9" t="s">
        <v>47</v>
      </c>
      <c r="C9" t="s">
        <v>43</v>
      </c>
      <c r="D9" t="s">
        <v>36</v>
      </c>
      <c r="E9" t="s">
        <v>31</v>
      </c>
      <c r="F9" s="5" t="s">
        <v>657</v>
      </c>
      <c r="G9" t="s">
        <v>48</v>
      </c>
      <c r="H9" t="s">
        <v>45</v>
      </c>
      <c r="I9" t="s">
        <v>49</v>
      </c>
    </row>
    <row r="10" spans="1:9" x14ac:dyDescent="0.35">
      <c r="A10" t="str">
        <f t="shared" si="0"/>
        <v/>
      </c>
    </row>
    <row r="11" spans="1:9" x14ac:dyDescent="0.35">
      <c r="A11" t="str">
        <f t="shared" si="0"/>
        <v/>
      </c>
    </row>
    <row r="12" spans="1:9" x14ac:dyDescent="0.35">
      <c r="A12" t="str">
        <f t="shared" si="0"/>
        <v/>
      </c>
    </row>
    <row r="13" spans="1:9" x14ac:dyDescent="0.35">
      <c r="A13" t="str">
        <f t="shared" si="0"/>
        <v/>
      </c>
    </row>
    <row r="14" spans="1:9" x14ac:dyDescent="0.35">
      <c r="A14" t="str">
        <f t="shared" si="0"/>
        <v/>
      </c>
    </row>
    <row r="15" spans="1:9" x14ac:dyDescent="0.35">
      <c r="A15" t="str">
        <f t="shared" si="0"/>
        <v/>
      </c>
    </row>
    <row r="16" spans="1:9" x14ac:dyDescent="0.35">
      <c r="A16" t="str">
        <f t="shared" si="0"/>
        <v/>
      </c>
    </row>
    <row r="17" spans="1:1" x14ac:dyDescent="0.35">
      <c r="A17" t="str">
        <f t="shared" si="0"/>
        <v/>
      </c>
    </row>
    <row r="18" spans="1:1" x14ac:dyDescent="0.35">
      <c r="A18" t="str">
        <f t="shared" si="0"/>
        <v/>
      </c>
    </row>
    <row r="19" spans="1:1" x14ac:dyDescent="0.35">
      <c r="A19" t="str">
        <f t="shared" si="0"/>
        <v/>
      </c>
    </row>
    <row r="20" spans="1:1" x14ac:dyDescent="0.35">
      <c r="A20" t="str">
        <f t="shared" si="0"/>
        <v/>
      </c>
    </row>
    <row r="21" spans="1:1" x14ac:dyDescent="0.35">
      <c r="A21" t="str">
        <f t="shared" si="0"/>
        <v/>
      </c>
    </row>
    <row r="22" spans="1:1" x14ac:dyDescent="0.35">
      <c r="A22" t="str">
        <f t="shared" si="0"/>
        <v/>
      </c>
    </row>
    <row r="23" spans="1:1" x14ac:dyDescent="0.35">
      <c r="A23" t="str">
        <f t="shared" si="0"/>
        <v/>
      </c>
    </row>
    <row r="24" spans="1:1" x14ac:dyDescent="0.35">
      <c r="A24" t="str">
        <f t="shared" si="0"/>
        <v/>
      </c>
    </row>
    <row r="25" spans="1:1" x14ac:dyDescent="0.35">
      <c r="A25" t="str">
        <f t="shared" si="0"/>
        <v/>
      </c>
    </row>
    <row r="26" spans="1:1" x14ac:dyDescent="0.35">
      <c r="A26" t="str">
        <f t="shared" si="0"/>
        <v/>
      </c>
    </row>
    <row r="27" spans="1:1" x14ac:dyDescent="0.35">
      <c r="A27" t="str">
        <f t="shared" si="0"/>
        <v/>
      </c>
    </row>
    <row r="28" spans="1:1" x14ac:dyDescent="0.35">
      <c r="A28" t="str">
        <f t="shared" si="0"/>
        <v/>
      </c>
    </row>
    <row r="29" spans="1:1" x14ac:dyDescent="0.35">
      <c r="A29" t="str">
        <f t="shared" si="0"/>
        <v/>
      </c>
    </row>
    <row r="30" spans="1:1" x14ac:dyDescent="0.35">
      <c r="A30" t="str">
        <f t="shared" si="0"/>
        <v/>
      </c>
    </row>
    <row r="31" spans="1:1" x14ac:dyDescent="0.35">
      <c r="A31" t="str">
        <f t="shared" si="0"/>
        <v/>
      </c>
    </row>
    <row r="32" spans="1:1" x14ac:dyDescent="0.35">
      <c r="A32" t="str">
        <f t="shared" ref="A32:A63" si="1">IF(B32="","","u"&amp;ROW()-3)</f>
        <v/>
      </c>
    </row>
    <row r="33" spans="1:1" x14ac:dyDescent="0.35">
      <c r="A33" t="str">
        <f t="shared" si="1"/>
        <v/>
      </c>
    </row>
    <row r="34" spans="1:1" x14ac:dyDescent="0.35">
      <c r="A34" t="str">
        <f t="shared" si="1"/>
        <v/>
      </c>
    </row>
    <row r="35" spans="1:1" x14ac:dyDescent="0.35">
      <c r="A35" t="str">
        <f t="shared" si="1"/>
        <v/>
      </c>
    </row>
    <row r="36" spans="1:1" x14ac:dyDescent="0.35">
      <c r="A36" t="str">
        <f t="shared" si="1"/>
        <v/>
      </c>
    </row>
    <row r="37" spans="1:1" x14ac:dyDescent="0.35">
      <c r="A37" t="str">
        <f t="shared" si="1"/>
        <v/>
      </c>
    </row>
    <row r="38" spans="1:1" x14ac:dyDescent="0.35">
      <c r="A38" t="str">
        <f t="shared" si="1"/>
        <v/>
      </c>
    </row>
    <row r="39" spans="1:1" x14ac:dyDescent="0.35">
      <c r="A39" t="str">
        <f t="shared" si="1"/>
        <v/>
      </c>
    </row>
    <row r="40" spans="1:1" x14ac:dyDescent="0.35">
      <c r="A40" t="str">
        <f t="shared" si="1"/>
        <v/>
      </c>
    </row>
    <row r="41" spans="1:1" x14ac:dyDescent="0.35">
      <c r="A41" t="str">
        <f t="shared" si="1"/>
        <v/>
      </c>
    </row>
    <row r="42" spans="1:1" x14ac:dyDescent="0.35">
      <c r="A42" t="str">
        <f t="shared" si="1"/>
        <v/>
      </c>
    </row>
    <row r="43" spans="1:1" x14ac:dyDescent="0.35">
      <c r="A43" t="str">
        <f t="shared" si="1"/>
        <v/>
      </c>
    </row>
    <row r="44" spans="1:1" x14ac:dyDescent="0.35">
      <c r="A44" t="str">
        <f t="shared" si="1"/>
        <v/>
      </c>
    </row>
    <row r="45" spans="1:1" x14ac:dyDescent="0.35">
      <c r="A45" t="str">
        <f t="shared" si="1"/>
        <v/>
      </c>
    </row>
    <row r="46" spans="1:1" x14ac:dyDescent="0.35">
      <c r="A46" t="str">
        <f t="shared" si="1"/>
        <v/>
      </c>
    </row>
    <row r="47" spans="1:1" x14ac:dyDescent="0.35">
      <c r="A47" t="str">
        <f t="shared" si="1"/>
        <v/>
      </c>
    </row>
    <row r="48" spans="1:1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ref="A64:A95" si="2">IF(B64="","","u"&amp;ROW()-3)</f>
        <v/>
      </c>
    </row>
    <row r="65" spans="1:1" x14ac:dyDescent="0.35">
      <c r="A65" t="str">
        <f t="shared" si="2"/>
        <v/>
      </c>
    </row>
    <row r="66" spans="1:1" x14ac:dyDescent="0.35">
      <c r="A66" t="str">
        <f t="shared" si="2"/>
        <v/>
      </c>
    </row>
    <row r="67" spans="1:1" x14ac:dyDescent="0.35">
      <c r="A67" t="str">
        <f t="shared" si="2"/>
        <v/>
      </c>
    </row>
    <row r="68" spans="1:1" x14ac:dyDescent="0.35">
      <c r="A68" t="str">
        <f t="shared" si="2"/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ref="A96:A127" si="3">IF(B96="","","u"&amp;ROW()-3)</f>
        <v/>
      </c>
    </row>
    <row r="97" spans="1:1" x14ac:dyDescent="0.35">
      <c r="A97" t="str">
        <f t="shared" si="3"/>
        <v/>
      </c>
    </row>
    <row r="98" spans="1:1" x14ac:dyDescent="0.35">
      <c r="A98" t="str">
        <f t="shared" si="3"/>
        <v/>
      </c>
    </row>
    <row r="99" spans="1:1" x14ac:dyDescent="0.35">
      <c r="A99" t="str">
        <f t="shared" si="3"/>
        <v/>
      </c>
    </row>
    <row r="100" spans="1:1" x14ac:dyDescent="0.35">
      <c r="A100" t="str">
        <f t="shared" si="3"/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ref="A128:A159" si="4">IF(B128="","","u"&amp;ROW()-3)</f>
        <v/>
      </c>
    </row>
    <row r="129" spans="1:1" x14ac:dyDescent="0.35">
      <c r="A129" t="str">
        <f t="shared" si="4"/>
        <v/>
      </c>
    </row>
    <row r="130" spans="1:1" x14ac:dyDescent="0.35">
      <c r="A130" t="str">
        <f t="shared" si="4"/>
        <v/>
      </c>
    </row>
    <row r="131" spans="1:1" x14ac:dyDescent="0.35">
      <c r="A131" t="str">
        <f t="shared" si="4"/>
        <v/>
      </c>
    </row>
    <row r="132" spans="1:1" x14ac:dyDescent="0.35">
      <c r="A132" t="str">
        <f t="shared" si="4"/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ref="A160:A191" si="5">IF(B160="","","u"&amp;ROW()-3)</f>
        <v/>
      </c>
    </row>
    <row r="161" spans="1:1" x14ac:dyDescent="0.35">
      <c r="A161" t="str">
        <f t="shared" si="5"/>
        <v/>
      </c>
    </row>
    <row r="162" spans="1:1" x14ac:dyDescent="0.35">
      <c r="A162" t="str">
        <f t="shared" si="5"/>
        <v/>
      </c>
    </row>
    <row r="163" spans="1:1" x14ac:dyDescent="0.35">
      <c r="A163" t="str">
        <f t="shared" si="5"/>
        <v/>
      </c>
    </row>
    <row r="164" spans="1:1" x14ac:dyDescent="0.35">
      <c r="A164" t="str">
        <f t="shared" si="5"/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ref="A192:A223" si="6">IF(B192="","","u"&amp;ROW()-3)</f>
        <v/>
      </c>
    </row>
    <row r="193" spans="1:1" x14ac:dyDescent="0.35">
      <c r="A193" t="str">
        <f t="shared" si="6"/>
        <v/>
      </c>
    </row>
    <row r="194" spans="1:1" x14ac:dyDescent="0.35">
      <c r="A194" t="str">
        <f t="shared" si="6"/>
        <v/>
      </c>
    </row>
    <row r="195" spans="1:1" x14ac:dyDescent="0.35">
      <c r="A195" t="str">
        <f t="shared" si="6"/>
        <v/>
      </c>
    </row>
    <row r="196" spans="1:1" x14ac:dyDescent="0.35">
      <c r="A196" t="str">
        <f t="shared" si="6"/>
        <v/>
      </c>
    </row>
  </sheetData>
  <dataValidations count="1">
    <dataValidation type="list" allowBlank="1" sqref="D4:E996" xr:uid="{00000000-0002-0000-0100-000000000000}">
      <formula1>"Yes,No"</formula1>
    </dataValidation>
  </dataValidations>
  <hyperlinks>
    <hyperlink ref="F4" r:id="rId1" xr:uid="{ECB4E369-A301-49AE-88B9-DAD92FCFA884}"/>
    <hyperlink ref="F5" r:id="rId2" xr:uid="{A7282054-64E0-480B-ABDD-C81FA4EBFC1C}"/>
    <hyperlink ref="F6" r:id="rId3" xr:uid="{3CF8C0B5-C8AE-4EAE-89E4-EBC38112E473}"/>
    <hyperlink ref="F7" r:id="rId4" xr:uid="{C92CFE54-5C97-4D07-92B1-91B187BF9576}"/>
    <hyperlink ref="F8" r:id="rId5" xr:uid="{08E65027-470B-4C62-9FF3-B13BC98674B6}"/>
    <hyperlink ref="F9" r:id="rId6" xr:uid="{B09E36FC-00CA-4201-A359-E2D2EC26933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/>
  </sheetViews>
  <sheetFormatPr defaultRowHeight="14.5" x14ac:dyDescent="0.35"/>
  <cols>
    <col min="1" max="1" width="10" customWidth="1"/>
    <col min="2" max="3" width="28" customWidth="1"/>
    <col min="4" max="4" width="18" customWidth="1"/>
    <col min="5" max="7" width="16" customWidth="1"/>
    <col min="8" max="8" width="18" customWidth="1"/>
    <col min="9" max="9" width="8" customWidth="1"/>
    <col min="10" max="10" width="50" customWidth="1"/>
  </cols>
  <sheetData>
    <row r="1" spans="1:10" x14ac:dyDescent="0.35">
      <c r="A1" s="2" t="s">
        <v>18</v>
      </c>
    </row>
    <row r="2" spans="1:10" x14ac:dyDescent="0.35">
      <c r="B2" s="3" t="s">
        <v>19</v>
      </c>
    </row>
    <row r="3" spans="1:10" ht="32" customHeight="1" x14ac:dyDescent="0.35">
      <c r="A3" s="4" t="s">
        <v>20</v>
      </c>
      <c r="B3" s="4" t="s">
        <v>21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</row>
    <row r="4" spans="1:10" x14ac:dyDescent="0.35">
      <c r="A4" t="str">
        <f t="shared" ref="A4:A35" si="0">IF(B4="","","c"&amp;ROW()-3)</f>
        <v>c1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>
        <v>48000000</v>
      </c>
      <c r="H4" t="s">
        <v>63</v>
      </c>
      <c r="J4" t="s">
        <v>64</v>
      </c>
    </row>
    <row r="5" spans="1:10" x14ac:dyDescent="0.35">
      <c r="A5" t="str">
        <f t="shared" si="0"/>
        <v>c2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>
        <v>120000000</v>
      </c>
      <c r="H5" t="s">
        <v>70</v>
      </c>
      <c r="J5" t="s">
        <v>71</v>
      </c>
    </row>
    <row r="6" spans="1:10" x14ac:dyDescent="0.35">
      <c r="A6" t="str">
        <f t="shared" si="0"/>
        <v>c3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>
        <v>35000000</v>
      </c>
      <c r="H6" t="s">
        <v>77</v>
      </c>
      <c r="J6" t="s">
        <v>78</v>
      </c>
    </row>
    <row r="7" spans="1:10" x14ac:dyDescent="0.35">
      <c r="A7" t="str">
        <f t="shared" si="0"/>
        <v>c4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>
        <v>95000000</v>
      </c>
      <c r="H7" t="s">
        <v>35</v>
      </c>
      <c r="J7" t="s">
        <v>84</v>
      </c>
    </row>
    <row r="8" spans="1:10" x14ac:dyDescent="0.35">
      <c r="A8" t="str">
        <f t="shared" si="0"/>
        <v>c5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>
        <v>210000000</v>
      </c>
      <c r="H8" t="s">
        <v>63</v>
      </c>
      <c r="J8" t="s">
        <v>90</v>
      </c>
    </row>
    <row r="9" spans="1:10" x14ac:dyDescent="0.35">
      <c r="A9" t="str">
        <f t="shared" si="0"/>
        <v>c6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>
        <v>62000000</v>
      </c>
      <c r="H9" t="s">
        <v>96</v>
      </c>
      <c r="J9" t="s">
        <v>97</v>
      </c>
    </row>
    <row r="10" spans="1:10" x14ac:dyDescent="0.35">
      <c r="A10" t="str">
        <f t="shared" si="0"/>
        <v>c7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>
        <v>180000000</v>
      </c>
      <c r="H10" t="s">
        <v>63</v>
      </c>
      <c r="J10" t="s">
        <v>103</v>
      </c>
    </row>
    <row r="11" spans="1:10" x14ac:dyDescent="0.35">
      <c r="A11" t="str">
        <f t="shared" si="0"/>
        <v>c8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72000000</v>
      </c>
      <c r="H11" t="s">
        <v>70</v>
      </c>
      <c r="J11" t="s">
        <v>109</v>
      </c>
    </row>
    <row r="12" spans="1:10" x14ac:dyDescent="0.35">
      <c r="A12" t="str">
        <f t="shared" si="0"/>
        <v>c9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>
        <v>54000000</v>
      </c>
      <c r="H12" t="s">
        <v>96</v>
      </c>
      <c r="J12" t="s">
        <v>115</v>
      </c>
    </row>
    <row r="13" spans="1:10" x14ac:dyDescent="0.35">
      <c r="A13" t="str">
        <f t="shared" si="0"/>
        <v>c10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>
        <v>88000000</v>
      </c>
      <c r="H13" t="s">
        <v>63</v>
      </c>
      <c r="J13" t="s">
        <v>121</v>
      </c>
    </row>
    <row r="14" spans="1:10" x14ac:dyDescent="0.35">
      <c r="A14" t="str">
        <f t="shared" si="0"/>
        <v>c11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>
        <v>45000000</v>
      </c>
      <c r="H14" t="s">
        <v>77</v>
      </c>
      <c r="J14" t="s">
        <v>127</v>
      </c>
    </row>
    <row r="15" spans="1:10" x14ac:dyDescent="0.35">
      <c r="A15" t="str">
        <f t="shared" si="0"/>
        <v>c12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>
        <v>18000000</v>
      </c>
      <c r="H15" t="s">
        <v>63</v>
      </c>
      <c r="J15" t="s">
        <v>133</v>
      </c>
    </row>
    <row r="16" spans="1:10" x14ac:dyDescent="0.35">
      <c r="A16" t="str">
        <f t="shared" si="0"/>
        <v>c13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>
        <v>28000000</v>
      </c>
      <c r="H16" t="s">
        <v>70</v>
      </c>
      <c r="J16" t="s">
        <v>139</v>
      </c>
    </row>
    <row r="17" spans="1:10" x14ac:dyDescent="0.35">
      <c r="A17" t="str">
        <f t="shared" si="0"/>
        <v>c14</v>
      </c>
      <c r="B17" t="s">
        <v>140</v>
      </c>
      <c r="C17" t="s">
        <v>141</v>
      </c>
      <c r="D17" t="s">
        <v>142</v>
      </c>
      <c r="E17" t="s">
        <v>143</v>
      </c>
      <c r="F17" t="s">
        <v>143</v>
      </c>
      <c r="G17">
        <v>140000000</v>
      </c>
      <c r="H17" t="s">
        <v>35</v>
      </c>
      <c r="J17" t="s">
        <v>144</v>
      </c>
    </row>
    <row r="18" spans="1:10" x14ac:dyDescent="0.35">
      <c r="A18" t="str">
        <f t="shared" si="0"/>
        <v>c15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>
        <v>39000000</v>
      </c>
      <c r="H18" t="s">
        <v>96</v>
      </c>
      <c r="J18" t="s">
        <v>150</v>
      </c>
    </row>
    <row r="19" spans="1:10" x14ac:dyDescent="0.35">
      <c r="A19" t="str">
        <f t="shared" si="0"/>
        <v>c16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>
        <v>22000000</v>
      </c>
      <c r="H19" t="s">
        <v>63</v>
      </c>
      <c r="J19" t="s">
        <v>156</v>
      </c>
    </row>
    <row r="20" spans="1:10" x14ac:dyDescent="0.35">
      <c r="A20" t="str">
        <f t="shared" si="0"/>
        <v>c17</v>
      </c>
      <c r="B20" t="s">
        <v>157</v>
      </c>
      <c r="C20" t="s">
        <v>158</v>
      </c>
      <c r="D20" t="s">
        <v>159</v>
      </c>
      <c r="E20" t="s">
        <v>101</v>
      </c>
      <c r="F20" t="s">
        <v>160</v>
      </c>
      <c r="G20">
        <v>240000000</v>
      </c>
      <c r="H20" t="s">
        <v>63</v>
      </c>
      <c r="J20" t="s">
        <v>161</v>
      </c>
    </row>
    <row r="21" spans="1:10" x14ac:dyDescent="0.35">
      <c r="A21" t="str">
        <f t="shared" si="0"/>
        <v>c18</v>
      </c>
      <c r="B21" t="s">
        <v>162</v>
      </c>
      <c r="C21" t="s">
        <v>163</v>
      </c>
      <c r="D21" t="s">
        <v>164</v>
      </c>
      <c r="E21" t="s">
        <v>101</v>
      </c>
      <c r="F21" t="s">
        <v>165</v>
      </c>
      <c r="G21">
        <v>135000000</v>
      </c>
      <c r="H21" t="s">
        <v>96</v>
      </c>
      <c r="J21" t="s">
        <v>166</v>
      </c>
    </row>
    <row r="22" spans="1:10" x14ac:dyDescent="0.35">
      <c r="A22" t="str">
        <f t="shared" si="0"/>
        <v>c19</v>
      </c>
      <c r="B22" t="s">
        <v>167</v>
      </c>
      <c r="C22" t="s">
        <v>168</v>
      </c>
      <c r="D22" t="s">
        <v>169</v>
      </c>
      <c r="E22" t="s">
        <v>101</v>
      </c>
      <c r="F22" t="s">
        <v>170</v>
      </c>
      <c r="G22">
        <v>88000000</v>
      </c>
      <c r="H22" t="s">
        <v>77</v>
      </c>
      <c r="J22" t="s">
        <v>171</v>
      </c>
    </row>
    <row r="23" spans="1:10" x14ac:dyDescent="0.35">
      <c r="A23" t="str">
        <f t="shared" si="0"/>
        <v>c20</v>
      </c>
      <c r="B23" t="s">
        <v>172</v>
      </c>
      <c r="C23" t="s">
        <v>173</v>
      </c>
      <c r="D23" t="s">
        <v>174</v>
      </c>
      <c r="E23" t="s">
        <v>101</v>
      </c>
      <c r="F23" t="s">
        <v>175</v>
      </c>
      <c r="G23">
        <v>155000000</v>
      </c>
      <c r="H23" t="s">
        <v>35</v>
      </c>
      <c r="J23" t="s">
        <v>176</v>
      </c>
    </row>
    <row r="24" spans="1:10" x14ac:dyDescent="0.35">
      <c r="A24" t="str">
        <f t="shared" si="0"/>
        <v>c21</v>
      </c>
      <c r="B24" t="s">
        <v>177</v>
      </c>
      <c r="C24" t="s">
        <v>178</v>
      </c>
      <c r="D24" t="s">
        <v>179</v>
      </c>
      <c r="E24" t="s">
        <v>68</v>
      </c>
      <c r="F24" t="s">
        <v>180</v>
      </c>
      <c r="G24">
        <v>78000000</v>
      </c>
      <c r="H24" t="s">
        <v>63</v>
      </c>
      <c r="J24" t="s">
        <v>181</v>
      </c>
    </row>
    <row r="25" spans="1:10" x14ac:dyDescent="0.35">
      <c r="A25" t="str">
        <f t="shared" si="0"/>
        <v>c22</v>
      </c>
      <c r="B25" t="s">
        <v>182</v>
      </c>
      <c r="C25" t="s">
        <v>183</v>
      </c>
      <c r="D25" t="s">
        <v>184</v>
      </c>
      <c r="E25" t="s">
        <v>68</v>
      </c>
      <c r="F25" t="s">
        <v>185</v>
      </c>
      <c r="G25">
        <v>52000000</v>
      </c>
      <c r="H25" t="s">
        <v>70</v>
      </c>
      <c r="J25" t="s">
        <v>186</v>
      </c>
    </row>
    <row r="26" spans="1:10" x14ac:dyDescent="0.35">
      <c r="A26" t="str">
        <f t="shared" si="0"/>
        <v>c23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>
        <v>165000000</v>
      </c>
      <c r="H26" t="s">
        <v>63</v>
      </c>
      <c r="J26" t="s">
        <v>192</v>
      </c>
    </row>
    <row r="27" spans="1:10" x14ac:dyDescent="0.35">
      <c r="A27" t="str">
        <f t="shared" si="0"/>
        <v>c24</v>
      </c>
      <c r="B27" t="s">
        <v>193</v>
      </c>
      <c r="C27" t="s">
        <v>194</v>
      </c>
      <c r="D27" t="s">
        <v>195</v>
      </c>
      <c r="E27" t="s">
        <v>190</v>
      </c>
      <c r="F27" t="s">
        <v>196</v>
      </c>
      <c r="G27">
        <v>92000000</v>
      </c>
      <c r="H27" t="s">
        <v>96</v>
      </c>
      <c r="J27" t="s">
        <v>197</v>
      </c>
    </row>
    <row r="28" spans="1:10" x14ac:dyDescent="0.35">
      <c r="A28" t="str">
        <f t="shared" si="0"/>
        <v>c25</v>
      </c>
      <c r="B28" t="s">
        <v>198</v>
      </c>
      <c r="C28" t="s">
        <v>199</v>
      </c>
      <c r="D28" t="s">
        <v>200</v>
      </c>
      <c r="E28" t="s">
        <v>119</v>
      </c>
      <c r="F28" t="s">
        <v>201</v>
      </c>
      <c r="G28">
        <v>115000000</v>
      </c>
      <c r="H28" t="s">
        <v>35</v>
      </c>
      <c r="J28" t="s">
        <v>202</v>
      </c>
    </row>
    <row r="29" spans="1:10" x14ac:dyDescent="0.35">
      <c r="A29" t="str">
        <f t="shared" si="0"/>
        <v>c26</v>
      </c>
      <c r="B29" t="s">
        <v>203</v>
      </c>
      <c r="C29" t="s">
        <v>204</v>
      </c>
      <c r="D29" t="s">
        <v>205</v>
      </c>
      <c r="E29" t="s">
        <v>61</v>
      </c>
      <c r="F29" t="s">
        <v>206</v>
      </c>
      <c r="G29">
        <v>36000000</v>
      </c>
      <c r="H29" t="s">
        <v>96</v>
      </c>
      <c r="J29" t="s">
        <v>207</v>
      </c>
    </row>
    <row r="30" spans="1:10" x14ac:dyDescent="0.35">
      <c r="A30" t="str">
        <f t="shared" si="0"/>
        <v>c27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>
        <v>98000000</v>
      </c>
      <c r="H30" t="s">
        <v>63</v>
      </c>
      <c r="J30" t="s">
        <v>213</v>
      </c>
    </row>
    <row r="31" spans="1:10" x14ac:dyDescent="0.35">
      <c r="A31" t="str">
        <f t="shared" si="0"/>
        <v>c28</v>
      </c>
      <c r="B31" t="s">
        <v>214</v>
      </c>
      <c r="C31" t="s">
        <v>215</v>
      </c>
      <c r="D31" t="s">
        <v>216</v>
      </c>
      <c r="E31" t="s">
        <v>211</v>
      </c>
      <c r="F31" t="s">
        <v>217</v>
      </c>
      <c r="G31">
        <v>42000000</v>
      </c>
      <c r="H31" t="s">
        <v>77</v>
      </c>
      <c r="J31" t="s">
        <v>218</v>
      </c>
    </row>
    <row r="32" spans="1:10" x14ac:dyDescent="0.35">
      <c r="A32" t="str">
        <f t="shared" si="0"/>
        <v>c29</v>
      </c>
      <c r="B32" t="s">
        <v>219</v>
      </c>
      <c r="C32" t="s">
        <v>220</v>
      </c>
      <c r="D32" t="s">
        <v>221</v>
      </c>
      <c r="E32" t="s">
        <v>222</v>
      </c>
      <c r="F32" t="s">
        <v>223</v>
      </c>
      <c r="G32">
        <v>67000000</v>
      </c>
      <c r="H32" t="s">
        <v>96</v>
      </c>
      <c r="J32" t="s">
        <v>224</v>
      </c>
    </row>
    <row r="33" spans="1:10" x14ac:dyDescent="0.35">
      <c r="A33" t="str">
        <f t="shared" si="0"/>
        <v>c30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>
        <v>285000000</v>
      </c>
      <c r="H33" t="s">
        <v>35</v>
      </c>
      <c r="J33" t="s">
        <v>230</v>
      </c>
    </row>
    <row r="34" spans="1:10" x14ac:dyDescent="0.35">
      <c r="A34" t="str">
        <f t="shared" si="0"/>
        <v/>
      </c>
    </row>
    <row r="35" spans="1:10" x14ac:dyDescent="0.35">
      <c r="A35" t="str">
        <f t="shared" si="0"/>
        <v/>
      </c>
    </row>
    <row r="36" spans="1:10" x14ac:dyDescent="0.35">
      <c r="A36" t="str">
        <f t="shared" ref="A36:A67" si="1">IF(B36="","","c"&amp;ROW()-3)</f>
        <v/>
      </c>
    </row>
    <row r="37" spans="1:10" x14ac:dyDescent="0.35">
      <c r="A37" t="str">
        <f t="shared" si="1"/>
        <v/>
      </c>
    </row>
    <row r="38" spans="1:10" x14ac:dyDescent="0.35">
      <c r="A38" t="str">
        <f t="shared" si="1"/>
        <v/>
      </c>
    </row>
    <row r="39" spans="1:10" x14ac:dyDescent="0.35">
      <c r="A39" t="str">
        <f t="shared" si="1"/>
        <v/>
      </c>
    </row>
    <row r="40" spans="1:10" x14ac:dyDescent="0.35">
      <c r="A40" t="str">
        <f t="shared" si="1"/>
        <v/>
      </c>
    </row>
    <row r="41" spans="1:10" x14ac:dyDescent="0.35">
      <c r="A41" t="str">
        <f t="shared" si="1"/>
        <v/>
      </c>
    </row>
    <row r="42" spans="1:10" x14ac:dyDescent="0.35">
      <c r="A42" t="str">
        <f t="shared" si="1"/>
        <v/>
      </c>
    </row>
    <row r="43" spans="1:10" x14ac:dyDescent="0.35">
      <c r="A43" t="str">
        <f t="shared" si="1"/>
        <v/>
      </c>
    </row>
    <row r="44" spans="1:10" x14ac:dyDescent="0.35">
      <c r="A44" t="str">
        <f t="shared" si="1"/>
        <v/>
      </c>
    </row>
    <row r="45" spans="1:10" x14ac:dyDescent="0.35">
      <c r="A45" t="str">
        <f t="shared" si="1"/>
        <v/>
      </c>
    </row>
    <row r="46" spans="1:10" x14ac:dyDescent="0.35">
      <c r="A46" t="str">
        <f t="shared" si="1"/>
        <v/>
      </c>
    </row>
    <row r="47" spans="1:10" x14ac:dyDescent="0.35">
      <c r="A47" t="str">
        <f t="shared" si="1"/>
        <v/>
      </c>
    </row>
    <row r="48" spans="1:10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si="1"/>
        <v/>
      </c>
    </row>
    <row r="65" spans="1:1" x14ac:dyDescent="0.35">
      <c r="A65" t="str">
        <f t="shared" si="1"/>
        <v/>
      </c>
    </row>
    <row r="66" spans="1:1" x14ac:dyDescent="0.35">
      <c r="A66" t="str">
        <f t="shared" si="1"/>
        <v/>
      </c>
    </row>
    <row r="67" spans="1:1" x14ac:dyDescent="0.35">
      <c r="A67" t="str">
        <f t="shared" si="1"/>
        <v/>
      </c>
    </row>
    <row r="68" spans="1:1" x14ac:dyDescent="0.35">
      <c r="A68" t="str">
        <f t="shared" ref="A68:A99" si="2">IF(B68="","","c"&amp;ROW()-3)</f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si="2"/>
        <v/>
      </c>
    </row>
    <row r="97" spans="1:1" x14ac:dyDescent="0.35">
      <c r="A97" t="str">
        <f t="shared" si="2"/>
        <v/>
      </c>
    </row>
    <row r="98" spans="1:1" x14ac:dyDescent="0.35">
      <c r="A98" t="str">
        <f t="shared" si="2"/>
        <v/>
      </c>
    </row>
    <row r="99" spans="1:1" x14ac:dyDescent="0.35">
      <c r="A99" t="str">
        <f t="shared" si="2"/>
        <v/>
      </c>
    </row>
    <row r="100" spans="1:1" x14ac:dyDescent="0.35">
      <c r="A100" t="str">
        <f t="shared" ref="A100:A131" si="3">IF(B100="","","c"&amp;ROW()-3)</f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si="3"/>
        <v/>
      </c>
    </row>
    <row r="129" spans="1:1" x14ac:dyDescent="0.35">
      <c r="A129" t="str">
        <f t="shared" si="3"/>
        <v/>
      </c>
    </row>
    <row r="130" spans="1:1" x14ac:dyDescent="0.35">
      <c r="A130" t="str">
        <f t="shared" si="3"/>
        <v/>
      </c>
    </row>
    <row r="131" spans="1:1" x14ac:dyDescent="0.35">
      <c r="A131" t="str">
        <f t="shared" si="3"/>
        <v/>
      </c>
    </row>
    <row r="132" spans="1:1" x14ac:dyDescent="0.35">
      <c r="A132" t="str">
        <f t="shared" ref="A132:A163" si="4">IF(B132="","","c"&amp;ROW()-3)</f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si="4"/>
        <v/>
      </c>
    </row>
    <row r="161" spans="1:1" x14ac:dyDescent="0.35">
      <c r="A161" t="str">
        <f t="shared" si="4"/>
        <v/>
      </c>
    </row>
    <row r="162" spans="1:1" x14ac:dyDescent="0.35">
      <c r="A162" t="str">
        <f t="shared" si="4"/>
        <v/>
      </c>
    </row>
    <row r="163" spans="1:1" x14ac:dyDescent="0.35">
      <c r="A163" t="str">
        <f t="shared" si="4"/>
        <v/>
      </c>
    </row>
    <row r="164" spans="1:1" x14ac:dyDescent="0.35">
      <c r="A164" t="str">
        <f t="shared" ref="A164:A195" si="5">IF(B164="","","c"&amp;ROW()-3)</f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si="5"/>
        <v/>
      </c>
    </row>
    <row r="193" spans="1:1" x14ac:dyDescent="0.35">
      <c r="A193" t="str">
        <f t="shared" si="5"/>
        <v/>
      </c>
    </row>
    <row r="194" spans="1:1" x14ac:dyDescent="0.35">
      <c r="A194" t="str">
        <f t="shared" si="5"/>
        <v/>
      </c>
    </row>
    <row r="195" spans="1:1" x14ac:dyDescent="0.35">
      <c r="A195" t="str">
        <f t="shared" si="5"/>
        <v/>
      </c>
    </row>
    <row r="196" spans="1:1" x14ac:dyDescent="0.35">
      <c r="A196" t="str">
        <f t="shared" ref="A196:A227" si="6">IF(B196="","","c"&amp;ROW()-3)</f>
        <v/>
      </c>
    </row>
    <row r="197" spans="1:1" x14ac:dyDescent="0.35">
      <c r="A197" t="str">
        <f t="shared" si="6"/>
        <v/>
      </c>
    </row>
    <row r="198" spans="1:1" x14ac:dyDescent="0.35">
      <c r="A198" t="str">
        <f t="shared" si="6"/>
        <v/>
      </c>
    </row>
    <row r="199" spans="1:1" x14ac:dyDescent="0.35">
      <c r="A199" t="str">
        <f t="shared" si="6"/>
        <v/>
      </c>
    </row>
    <row r="200" spans="1:1" x14ac:dyDescent="0.35">
      <c r="A200" t="str">
        <f t="shared" si="6"/>
        <v/>
      </c>
    </row>
  </sheetData>
  <dataValidations count="2">
    <dataValidation type="list" allowBlank="1" sqref="H4:H1000" xr:uid="{00000000-0002-0000-0200-000000000000}">
      <formula1>"Referral,Inbound,Event,Cold,Partner,Other"</formula1>
    </dataValidation>
    <dataValidation type="list" allowBlank="1" sqref="I4:I1000" xr:uid="{00000000-0002-0000-0200-000001000000}">
      <formula1>"A,B,C"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workbookViewId="0">
      <selection activeCell="I21" sqref="I21"/>
    </sheetView>
  </sheetViews>
  <sheetFormatPr defaultRowHeight="14.5" x14ac:dyDescent="0.35"/>
  <cols>
    <col min="1" max="1" width="10" customWidth="1"/>
    <col min="2" max="2" width="28" customWidth="1"/>
    <col min="3" max="3" width="18" customWidth="1"/>
    <col min="4" max="4" width="16" customWidth="1"/>
    <col min="5" max="5" width="12" customWidth="1"/>
    <col min="6" max="6" width="16" customWidth="1"/>
    <col min="7" max="8" width="22" customWidth="1"/>
    <col min="9" max="9" width="50" customWidth="1"/>
  </cols>
  <sheetData>
    <row r="1" spans="1:9" x14ac:dyDescent="0.35">
      <c r="A1" s="2" t="s">
        <v>18</v>
      </c>
    </row>
    <row r="2" spans="1:9" x14ac:dyDescent="0.35">
      <c r="B2" s="3" t="s">
        <v>19</v>
      </c>
    </row>
    <row r="3" spans="1:9" ht="32" customHeight="1" x14ac:dyDescent="0.35">
      <c r="A3" s="4" t="s">
        <v>20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54</v>
      </c>
      <c r="G3" s="4" t="s">
        <v>235</v>
      </c>
      <c r="H3" s="4" t="s">
        <v>236</v>
      </c>
      <c r="I3" s="4" t="s">
        <v>57</v>
      </c>
    </row>
    <row r="4" spans="1:9" x14ac:dyDescent="0.35">
      <c r="A4" t="str">
        <f t="shared" ref="A4:A35" si="0">IF(B4="","","co"&amp;ROW()-3)</f>
        <v>co1</v>
      </c>
      <c r="B4" t="s">
        <v>237</v>
      </c>
      <c r="C4" t="s">
        <v>238</v>
      </c>
      <c r="D4" t="s">
        <v>61</v>
      </c>
      <c r="E4">
        <v>420</v>
      </c>
      <c r="F4">
        <v>32000000</v>
      </c>
      <c r="G4" t="s">
        <v>239</v>
      </c>
      <c r="H4" t="s">
        <v>240</v>
      </c>
    </row>
    <row r="5" spans="1:9" x14ac:dyDescent="0.35">
      <c r="A5" t="str">
        <f t="shared" si="0"/>
        <v>co2</v>
      </c>
      <c r="B5" t="s">
        <v>241</v>
      </c>
      <c r="C5" t="s">
        <v>242</v>
      </c>
      <c r="D5" t="s">
        <v>61</v>
      </c>
      <c r="E5">
        <v>180</v>
      </c>
      <c r="F5">
        <v>14000000</v>
      </c>
      <c r="G5" t="s">
        <v>243</v>
      </c>
      <c r="H5" t="s">
        <v>240</v>
      </c>
    </row>
    <row r="6" spans="1:9" x14ac:dyDescent="0.35">
      <c r="A6" t="str">
        <f t="shared" si="0"/>
        <v>co3</v>
      </c>
      <c r="B6" t="s">
        <v>244</v>
      </c>
      <c r="C6" t="s">
        <v>245</v>
      </c>
      <c r="D6" t="s">
        <v>68</v>
      </c>
      <c r="E6">
        <v>22</v>
      </c>
      <c r="F6">
        <v>95000000</v>
      </c>
      <c r="G6" t="s">
        <v>246</v>
      </c>
      <c r="H6" t="s">
        <v>247</v>
      </c>
    </row>
    <row r="7" spans="1:9" x14ac:dyDescent="0.35">
      <c r="A7" t="str">
        <f t="shared" si="0"/>
        <v>co4</v>
      </c>
      <c r="B7" t="s">
        <v>248</v>
      </c>
      <c r="C7" t="s">
        <v>249</v>
      </c>
      <c r="D7" t="s">
        <v>75</v>
      </c>
      <c r="E7">
        <v>680</v>
      </c>
      <c r="F7">
        <v>28000000</v>
      </c>
      <c r="G7" t="s">
        <v>250</v>
      </c>
      <c r="H7" t="s">
        <v>251</v>
      </c>
    </row>
    <row r="8" spans="1:9" x14ac:dyDescent="0.35">
      <c r="A8" t="str">
        <f t="shared" si="0"/>
        <v>co5</v>
      </c>
      <c r="B8" t="s">
        <v>252</v>
      </c>
      <c r="C8" t="s">
        <v>253</v>
      </c>
      <c r="D8" t="s">
        <v>82</v>
      </c>
      <c r="E8">
        <v>1200</v>
      </c>
      <c r="F8">
        <v>76000000</v>
      </c>
      <c r="G8" t="s">
        <v>254</v>
      </c>
      <c r="H8" t="s">
        <v>255</v>
      </c>
    </row>
    <row r="9" spans="1:9" x14ac:dyDescent="0.35">
      <c r="A9" t="str">
        <f t="shared" si="0"/>
        <v>co6</v>
      </c>
      <c r="B9" t="s">
        <v>256</v>
      </c>
      <c r="C9" t="s">
        <v>257</v>
      </c>
      <c r="D9" t="s">
        <v>88</v>
      </c>
      <c r="E9">
        <v>14</v>
      </c>
      <c r="F9">
        <v>180000000</v>
      </c>
      <c r="G9" t="s">
        <v>258</v>
      </c>
      <c r="H9" t="s">
        <v>259</v>
      </c>
    </row>
    <row r="10" spans="1:9" x14ac:dyDescent="0.35">
      <c r="A10" t="str">
        <f t="shared" si="0"/>
        <v>co7</v>
      </c>
      <c r="B10" t="s">
        <v>260</v>
      </c>
      <c r="C10" t="s">
        <v>245</v>
      </c>
      <c r="D10" t="s">
        <v>94</v>
      </c>
      <c r="E10">
        <v>11</v>
      </c>
      <c r="F10">
        <v>52000000</v>
      </c>
      <c r="G10" t="s">
        <v>261</v>
      </c>
      <c r="H10" t="s">
        <v>262</v>
      </c>
    </row>
    <row r="11" spans="1:9" x14ac:dyDescent="0.35">
      <c r="A11" t="str">
        <f t="shared" si="0"/>
        <v>co8</v>
      </c>
      <c r="B11" t="s">
        <v>263</v>
      </c>
      <c r="C11" t="s">
        <v>264</v>
      </c>
      <c r="D11" t="s">
        <v>101</v>
      </c>
      <c r="E11">
        <v>9</v>
      </c>
      <c r="F11">
        <v>150000000</v>
      </c>
      <c r="G11" t="s">
        <v>265</v>
      </c>
      <c r="H11" t="s">
        <v>266</v>
      </c>
    </row>
    <row r="12" spans="1:9" x14ac:dyDescent="0.35">
      <c r="A12" t="str">
        <f t="shared" si="0"/>
        <v>co9</v>
      </c>
      <c r="B12" t="s">
        <v>267</v>
      </c>
      <c r="C12" t="s">
        <v>268</v>
      </c>
      <c r="D12" t="s">
        <v>107</v>
      </c>
      <c r="E12">
        <v>850</v>
      </c>
      <c r="F12">
        <v>60000000</v>
      </c>
      <c r="G12" t="s">
        <v>269</v>
      </c>
      <c r="H12" t="s">
        <v>270</v>
      </c>
    </row>
    <row r="13" spans="1:9" x14ac:dyDescent="0.35">
      <c r="A13" t="str">
        <f t="shared" si="0"/>
        <v>co10</v>
      </c>
      <c r="B13" t="s">
        <v>271</v>
      </c>
      <c r="C13" t="s">
        <v>272</v>
      </c>
      <c r="D13" t="s">
        <v>113</v>
      </c>
      <c r="E13">
        <v>140</v>
      </c>
      <c r="F13">
        <v>48000000</v>
      </c>
      <c r="G13" t="s">
        <v>273</v>
      </c>
      <c r="H13" t="s">
        <v>274</v>
      </c>
    </row>
    <row r="14" spans="1:9" x14ac:dyDescent="0.35">
      <c r="A14" t="str">
        <f t="shared" si="0"/>
        <v>co11</v>
      </c>
      <c r="B14" t="s">
        <v>275</v>
      </c>
      <c r="C14" t="s">
        <v>276</v>
      </c>
      <c r="D14" t="s">
        <v>119</v>
      </c>
      <c r="E14">
        <v>560</v>
      </c>
      <c r="F14">
        <v>72000000</v>
      </c>
      <c r="G14" t="s">
        <v>277</v>
      </c>
      <c r="H14" t="s">
        <v>278</v>
      </c>
    </row>
    <row r="15" spans="1:9" x14ac:dyDescent="0.35">
      <c r="A15" t="str">
        <f t="shared" si="0"/>
        <v>co12</v>
      </c>
      <c r="B15" t="s">
        <v>279</v>
      </c>
      <c r="C15" t="s">
        <v>280</v>
      </c>
      <c r="D15" t="s">
        <v>125</v>
      </c>
      <c r="E15">
        <v>320</v>
      </c>
      <c r="F15">
        <v>38000000</v>
      </c>
      <c r="G15" t="s">
        <v>281</v>
      </c>
      <c r="H15" t="s">
        <v>282</v>
      </c>
    </row>
    <row r="16" spans="1:9" x14ac:dyDescent="0.35">
      <c r="A16" t="str">
        <f t="shared" si="0"/>
        <v>co13</v>
      </c>
      <c r="B16" t="s">
        <v>283</v>
      </c>
      <c r="C16" t="s">
        <v>284</v>
      </c>
      <c r="D16" t="s">
        <v>131</v>
      </c>
      <c r="E16">
        <v>210</v>
      </c>
      <c r="F16">
        <v>14000000</v>
      </c>
      <c r="G16" t="s">
        <v>285</v>
      </c>
      <c r="H16" t="s">
        <v>286</v>
      </c>
    </row>
    <row r="17" spans="1:8" x14ac:dyDescent="0.35">
      <c r="A17" t="str">
        <f t="shared" si="0"/>
        <v>co14</v>
      </c>
      <c r="B17" t="s">
        <v>287</v>
      </c>
      <c r="C17" t="s">
        <v>288</v>
      </c>
      <c r="D17" t="s">
        <v>137</v>
      </c>
      <c r="E17">
        <v>90</v>
      </c>
      <c r="F17">
        <v>22000000</v>
      </c>
      <c r="G17" t="s">
        <v>289</v>
      </c>
      <c r="H17" t="s">
        <v>290</v>
      </c>
    </row>
    <row r="18" spans="1:8" x14ac:dyDescent="0.35">
      <c r="A18" t="str">
        <f t="shared" si="0"/>
        <v>co15</v>
      </c>
      <c r="B18" t="s">
        <v>291</v>
      </c>
      <c r="C18" t="s">
        <v>245</v>
      </c>
      <c r="D18" t="s">
        <v>143</v>
      </c>
      <c r="E18">
        <v>18</v>
      </c>
      <c r="F18">
        <v>120000000</v>
      </c>
      <c r="G18" t="s">
        <v>292</v>
      </c>
      <c r="H18" t="s">
        <v>293</v>
      </c>
    </row>
    <row r="19" spans="1:8" x14ac:dyDescent="0.35">
      <c r="A19" t="str">
        <f t="shared" si="0"/>
        <v>co16</v>
      </c>
      <c r="B19" t="s">
        <v>294</v>
      </c>
      <c r="C19" t="s">
        <v>295</v>
      </c>
      <c r="D19" t="s">
        <v>148</v>
      </c>
      <c r="E19">
        <v>260</v>
      </c>
      <c r="F19">
        <v>33000000</v>
      </c>
      <c r="G19" t="s">
        <v>296</v>
      </c>
      <c r="H19" t="s">
        <v>297</v>
      </c>
    </row>
    <row r="20" spans="1:8" x14ac:dyDescent="0.35">
      <c r="A20" t="str">
        <f t="shared" si="0"/>
        <v>co17</v>
      </c>
      <c r="B20" t="s">
        <v>298</v>
      </c>
      <c r="C20" t="s">
        <v>299</v>
      </c>
      <c r="D20" t="s">
        <v>154</v>
      </c>
      <c r="E20">
        <v>140</v>
      </c>
      <c r="F20">
        <v>18000000</v>
      </c>
      <c r="G20" t="s">
        <v>300</v>
      </c>
      <c r="H20" t="s">
        <v>301</v>
      </c>
    </row>
    <row r="21" spans="1:8" x14ac:dyDescent="0.35">
      <c r="A21" t="str">
        <f t="shared" si="0"/>
        <v>co18</v>
      </c>
      <c r="B21" t="s">
        <v>302</v>
      </c>
      <c r="C21" t="s">
        <v>303</v>
      </c>
      <c r="D21" t="s">
        <v>82</v>
      </c>
      <c r="E21">
        <v>45</v>
      </c>
      <c r="F21">
        <v>19000000</v>
      </c>
      <c r="G21" t="s">
        <v>304</v>
      </c>
      <c r="H21" t="s">
        <v>255</v>
      </c>
    </row>
    <row r="22" spans="1:8" x14ac:dyDescent="0.35">
      <c r="A22" t="str">
        <f t="shared" si="0"/>
        <v>co19</v>
      </c>
      <c r="B22" t="s">
        <v>305</v>
      </c>
      <c r="C22" t="s">
        <v>257</v>
      </c>
      <c r="D22" t="s">
        <v>101</v>
      </c>
      <c r="E22">
        <v>18</v>
      </c>
      <c r="F22">
        <v>210000000</v>
      </c>
      <c r="G22" t="s">
        <v>306</v>
      </c>
      <c r="H22" t="s">
        <v>307</v>
      </c>
    </row>
    <row r="23" spans="1:8" x14ac:dyDescent="0.35">
      <c r="A23" t="str">
        <f t="shared" si="0"/>
        <v>co20</v>
      </c>
      <c r="B23" t="s">
        <v>308</v>
      </c>
      <c r="C23" t="s">
        <v>303</v>
      </c>
      <c r="D23" t="s">
        <v>101</v>
      </c>
      <c r="E23">
        <v>95</v>
      </c>
      <c r="F23">
        <v>120000000</v>
      </c>
      <c r="G23" t="s">
        <v>309</v>
      </c>
      <c r="H23" t="s">
        <v>310</v>
      </c>
    </row>
    <row r="24" spans="1:8" x14ac:dyDescent="0.35">
      <c r="A24" t="str">
        <f t="shared" si="0"/>
        <v>co21</v>
      </c>
      <c r="B24" t="s">
        <v>311</v>
      </c>
      <c r="C24" t="s">
        <v>238</v>
      </c>
      <c r="D24" t="s">
        <v>68</v>
      </c>
      <c r="E24">
        <v>140</v>
      </c>
      <c r="F24">
        <v>65000000</v>
      </c>
      <c r="G24" t="s">
        <v>312</v>
      </c>
      <c r="H24" t="s">
        <v>313</v>
      </c>
    </row>
    <row r="25" spans="1:8" x14ac:dyDescent="0.35">
      <c r="A25" t="str">
        <f t="shared" si="0"/>
        <v>co22</v>
      </c>
      <c r="B25" t="s">
        <v>314</v>
      </c>
      <c r="C25" t="s">
        <v>245</v>
      </c>
      <c r="D25" t="s">
        <v>190</v>
      </c>
      <c r="E25">
        <v>24</v>
      </c>
      <c r="F25">
        <v>140000000</v>
      </c>
      <c r="G25" t="s">
        <v>315</v>
      </c>
      <c r="H25" t="s">
        <v>316</v>
      </c>
    </row>
    <row r="26" spans="1:8" x14ac:dyDescent="0.35">
      <c r="A26" t="str">
        <f t="shared" si="0"/>
        <v>co23</v>
      </c>
      <c r="B26" t="s">
        <v>317</v>
      </c>
      <c r="C26" t="s">
        <v>318</v>
      </c>
      <c r="D26" t="s">
        <v>119</v>
      </c>
      <c r="E26">
        <v>85</v>
      </c>
      <c r="F26">
        <v>95000000</v>
      </c>
      <c r="G26" t="s">
        <v>319</v>
      </c>
      <c r="H26" t="s">
        <v>320</v>
      </c>
    </row>
    <row r="27" spans="1:8" x14ac:dyDescent="0.35">
      <c r="A27" t="str">
        <f t="shared" si="0"/>
        <v>co24</v>
      </c>
      <c r="B27" t="s">
        <v>321</v>
      </c>
      <c r="C27" t="s">
        <v>322</v>
      </c>
      <c r="D27" t="s">
        <v>211</v>
      </c>
      <c r="E27">
        <v>280</v>
      </c>
      <c r="F27">
        <v>78000000</v>
      </c>
      <c r="G27" t="s">
        <v>323</v>
      </c>
      <c r="H27" t="s">
        <v>324</v>
      </c>
    </row>
    <row r="28" spans="1:8" x14ac:dyDescent="0.35">
      <c r="A28" t="str">
        <f t="shared" si="0"/>
        <v>co25</v>
      </c>
      <c r="B28" t="s">
        <v>325</v>
      </c>
      <c r="C28" t="s">
        <v>326</v>
      </c>
      <c r="D28" t="s">
        <v>228</v>
      </c>
      <c r="E28">
        <v>32</v>
      </c>
      <c r="F28">
        <v>240000000</v>
      </c>
      <c r="G28" t="s">
        <v>327</v>
      </c>
      <c r="H28" t="s">
        <v>328</v>
      </c>
    </row>
    <row r="29" spans="1:8" x14ac:dyDescent="0.35">
      <c r="A29" t="str">
        <f t="shared" si="0"/>
        <v/>
      </c>
    </row>
    <row r="30" spans="1:8" x14ac:dyDescent="0.35">
      <c r="A30" t="str">
        <f t="shared" si="0"/>
        <v/>
      </c>
    </row>
    <row r="31" spans="1:8" x14ac:dyDescent="0.35">
      <c r="A31" t="str">
        <f t="shared" si="0"/>
        <v/>
      </c>
    </row>
    <row r="32" spans="1:8" x14ac:dyDescent="0.35">
      <c r="A32" t="str">
        <f t="shared" si="0"/>
        <v/>
      </c>
    </row>
    <row r="33" spans="1:1" x14ac:dyDescent="0.35">
      <c r="A33" t="str">
        <f t="shared" si="0"/>
        <v/>
      </c>
    </row>
    <row r="34" spans="1:1" x14ac:dyDescent="0.35">
      <c r="A34" t="str">
        <f t="shared" si="0"/>
        <v/>
      </c>
    </row>
    <row r="35" spans="1:1" x14ac:dyDescent="0.35">
      <c r="A35" t="str">
        <f t="shared" si="0"/>
        <v/>
      </c>
    </row>
    <row r="36" spans="1:1" x14ac:dyDescent="0.35">
      <c r="A36" t="str">
        <f t="shared" ref="A36:A67" si="1">IF(B36="","","co"&amp;ROW()-3)</f>
        <v/>
      </c>
    </row>
    <row r="37" spans="1:1" x14ac:dyDescent="0.35">
      <c r="A37" t="str">
        <f t="shared" si="1"/>
        <v/>
      </c>
    </row>
    <row r="38" spans="1:1" x14ac:dyDescent="0.35">
      <c r="A38" t="str">
        <f t="shared" si="1"/>
        <v/>
      </c>
    </row>
    <row r="39" spans="1:1" x14ac:dyDescent="0.35">
      <c r="A39" t="str">
        <f t="shared" si="1"/>
        <v/>
      </c>
    </row>
    <row r="40" spans="1:1" x14ac:dyDescent="0.35">
      <c r="A40" t="str">
        <f t="shared" si="1"/>
        <v/>
      </c>
    </row>
    <row r="41" spans="1:1" x14ac:dyDescent="0.35">
      <c r="A41" t="str">
        <f t="shared" si="1"/>
        <v/>
      </c>
    </row>
    <row r="42" spans="1:1" x14ac:dyDescent="0.35">
      <c r="A42" t="str">
        <f t="shared" si="1"/>
        <v/>
      </c>
    </row>
    <row r="43" spans="1:1" x14ac:dyDescent="0.35">
      <c r="A43" t="str">
        <f t="shared" si="1"/>
        <v/>
      </c>
    </row>
    <row r="44" spans="1:1" x14ac:dyDescent="0.35">
      <c r="A44" t="str">
        <f t="shared" si="1"/>
        <v/>
      </c>
    </row>
    <row r="45" spans="1:1" x14ac:dyDescent="0.35">
      <c r="A45" t="str">
        <f t="shared" si="1"/>
        <v/>
      </c>
    </row>
    <row r="46" spans="1:1" x14ac:dyDescent="0.35">
      <c r="A46" t="str">
        <f t="shared" si="1"/>
        <v/>
      </c>
    </row>
    <row r="47" spans="1:1" x14ac:dyDescent="0.35">
      <c r="A47" t="str">
        <f t="shared" si="1"/>
        <v/>
      </c>
    </row>
    <row r="48" spans="1:1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si="1"/>
        <v/>
      </c>
    </row>
    <row r="65" spans="1:1" x14ac:dyDescent="0.35">
      <c r="A65" t="str">
        <f t="shared" si="1"/>
        <v/>
      </c>
    </row>
    <row r="66" spans="1:1" x14ac:dyDescent="0.35">
      <c r="A66" t="str">
        <f t="shared" si="1"/>
        <v/>
      </c>
    </row>
    <row r="67" spans="1:1" x14ac:dyDescent="0.35">
      <c r="A67" t="str">
        <f t="shared" si="1"/>
        <v/>
      </c>
    </row>
    <row r="68" spans="1:1" x14ac:dyDescent="0.35">
      <c r="A68" t="str">
        <f t="shared" ref="A68:A99" si="2">IF(B68="","","co"&amp;ROW()-3)</f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si="2"/>
        <v/>
      </c>
    </row>
    <row r="97" spans="1:1" x14ac:dyDescent="0.35">
      <c r="A97" t="str">
        <f t="shared" si="2"/>
        <v/>
      </c>
    </row>
    <row r="98" spans="1:1" x14ac:dyDescent="0.35">
      <c r="A98" t="str">
        <f t="shared" si="2"/>
        <v/>
      </c>
    </row>
    <row r="99" spans="1:1" x14ac:dyDescent="0.35">
      <c r="A99" t="str">
        <f t="shared" si="2"/>
        <v/>
      </c>
    </row>
    <row r="100" spans="1:1" x14ac:dyDescent="0.35">
      <c r="A100" t="str">
        <f t="shared" ref="A100:A131" si="3">IF(B100="","","co"&amp;ROW()-3)</f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si="3"/>
        <v/>
      </c>
    </row>
    <row r="129" spans="1:1" x14ac:dyDescent="0.35">
      <c r="A129" t="str">
        <f t="shared" si="3"/>
        <v/>
      </c>
    </row>
    <row r="130" spans="1:1" x14ac:dyDescent="0.35">
      <c r="A130" t="str">
        <f t="shared" si="3"/>
        <v/>
      </c>
    </row>
    <row r="131" spans="1:1" x14ac:dyDescent="0.35">
      <c r="A131" t="str">
        <f t="shared" si="3"/>
        <v/>
      </c>
    </row>
    <row r="132" spans="1:1" x14ac:dyDescent="0.35">
      <c r="A132" t="str">
        <f t="shared" ref="A132:A163" si="4">IF(B132="","","co"&amp;ROW()-3)</f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si="4"/>
        <v/>
      </c>
    </row>
    <row r="161" spans="1:1" x14ac:dyDescent="0.35">
      <c r="A161" t="str">
        <f t="shared" si="4"/>
        <v/>
      </c>
    </row>
    <row r="162" spans="1:1" x14ac:dyDescent="0.35">
      <c r="A162" t="str">
        <f t="shared" si="4"/>
        <v/>
      </c>
    </row>
    <row r="163" spans="1:1" x14ac:dyDescent="0.35">
      <c r="A163" t="str">
        <f t="shared" si="4"/>
        <v/>
      </c>
    </row>
    <row r="164" spans="1:1" x14ac:dyDescent="0.35">
      <c r="A164" t="str">
        <f t="shared" ref="A164:A195" si="5">IF(B164="","","co"&amp;ROW()-3)</f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si="5"/>
        <v/>
      </c>
    </row>
    <row r="193" spans="1:1" x14ac:dyDescent="0.35">
      <c r="A193" t="str">
        <f t="shared" si="5"/>
        <v/>
      </c>
    </row>
    <row r="194" spans="1:1" x14ac:dyDescent="0.35">
      <c r="A194" t="str">
        <f t="shared" si="5"/>
        <v/>
      </c>
    </row>
    <row r="195" spans="1:1" x14ac:dyDescent="0.35">
      <c r="A195" t="str">
        <f t="shared" si="5"/>
        <v/>
      </c>
    </row>
    <row r="196" spans="1:1" x14ac:dyDescent="0.35">
      <c r="A196" t="str">
        <f t="shared" ref="A196:A227" si="6">IF(B196="","","co"&amp;ROW()-3)</f>
        <v/>
      </c>
    </row>
    <row r="197" spans="1:1" x14ac:dyDescent="0.35">
      <c r="A197" t="str">
        <f t="shared" si="6"/>
        <v/>
      </c>
    </row>
    <row r="198" spans="1:1" x14ac:dyDescent="0.35">
      <c r="A198" t="str">
        <f t="shared" si="6"/>
        <v/>
      </c>
    </row>
    <row r="199" spans="1:1" x14ac:dyDescent="0.35">
      <c r="A199" t="str">
        <f t="shared" si="6"/>
        <v/>
      </c>
    </row>
    <row r="200" spans="1:1" x14ac:dyDescent="0.35">
      <c r="A200" t="str">
        <f t="shared" si="6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0"/>
  <sheetViews>
    <sheetView workbookViewId="0">
      <selection activeCell="A4" sqref="A4"/>
    </sheetView>
  </sheetViews>
  <sheetFormatPr defaultRowHeight="14.5" x14ac:dyDescent="0.35"/>
  <cols>
    <col min="1" max="1" width="10" customWidth="1"/>
    <col min="2" max="2" width="26" customWidth="1"/>
    <col min="3" max="4" width="14" customWidth="1"/>
    <col min="5" max="5" width="12" customWidth="1"/>
    <col min="6" max="7" width="14" customWidth="1"/>
    <col min="8" max="8" width="16" customWidth="1"/>
    <col min="9" max="10" width="14" customWidth="1"/>
    <col min="11" max="11" width="11" customWidth="1"/>
    <col min="12" max="12" width="14" customWidth="1"/>
    <col min="13" max="13" width="11" customWidth="1"/>
    <col min="14" max="14" width="14" customWidth="1"/>
    <col min="15" max="15" width="11" customWidth="1"/>
    <col min="16" max="16" width="50" customWidth="1"/>
  </cols>
  <sheetData>
    <row r="1" spans="1:16" x14ac:dyDescent="0.35">
      <c r="A1" s="2" t="s">
        <v>18</v>
      </c>
    </row>
    <row r="2" spans="1:16" x14ac:dyDescent="0.35">
      <c r="B2" s="3" t="s">
        <v>19</v>
      </c>
    </row>
    <row r="3" spans="1:16" ht="32" customHeight="1" x14ac:dyDescent="0.35">
      <c r="A3" s="4" t="s">
        <v>20</v>
      </c>
      <c r="B3" s="4" t="s">
        <v>329</v>
      </c>
      <c r="C3" s="4" t="s">
        <v>330</v>
      </c>
      <c r="D3" s="4" t="s">
        <v>331</v>
      </c>
      <c r="E3" s="4" t="s">
        <v>332</v>
      </c>
      <c r="F3" s="4" t="s">
        <v>333</v>
      </c>
      <c r="G3" s="4" t="s">
        <v>334</v>
      </c>
      <c r="H3" s="4" t="s">
        <v>335</v>
      </c>
      <c r="I3" s="4" t="s">
        <v>336</v>
      </c>
      <c r="J3" s="4" t="s">
        <v>337</v>
      </c>
      <c r="K3" s="4" t="s">
        <v>338</v>
      </c>
      <c r="L3" s="4" t="s">
        <v>339</v>
      </c>
      <c r="M3" s="4" t="s">
        <v>340</v>
      </c>
      <c r="N3" s="4" t="s">
        <v>341</v>
      </c>
      <c r="O3" s="4" t="s">
        <v>342</v>
      </c>
      <c r="P3" s="4" t="s">
        <v>57</v>
      </c>
    </row>
    <row r="4" spans="1:16" x14ac:dyDescent="0.35">
      <c r="A4" t="str">
        <f t="shared" ref="A4:A35" si="0">IF(B4="","","d"&amp;ROW()-3)</f>
        <v>d1</v>
      </c>
      <c r="B4" t="s">
        <v>343</v>
      </c>
      <c r="C4" t="s">
        <v>240</v>
      </c>
      <c r="D4" t="s">
        <v>344</v>
      </c>
      <c r="E4" t="s">
        <v>345</v>
      </c>
      <c r="F4" t="s">
        <v>346</v>
      </c>
      <c r="G4">
        <v>3500000</v>
      </c>
      <c r="H4" t="s">
        <v>347</v>
      </c>
      <c r="I4" t="s">
        <v>348</v>
      </c>
      <c r="J4" t="s">
        <v>349</v>
      </c>
      <c r="K4">
        <v>70</v>
      </c>
      <c r="L4" t="s">
        <v>350</v>
      </c>
      <c r="M4">
        <v>30</v>
      </c>
    </row>
    <row r="5" spans="1:16" x14ac:dyDescent="0.35">
      <c r="A5" t="str">
        <f t="shared" si="0"/>
        <v>d2</v>
      </c>
      <c r="B5" t="s">
        <v>351</v>
      </c>
      <c r="C5" t="s">
        <v>240</v>
      </c>
      <c r="D5" t="s">
        <v>352</v>
      </c>
      <c r="E5" t="s">
        <v>353</v>
      </c>
      <c r="F5" t="s">
        <v>354</v>
      </c>
      <c r="G5">
        <v>280000</v>
      </c>
      <c r="H5" t="s">
        <v>355</v>
      </c>
      <c r="I5" t="s">
        <v>356</v>
      </c>
      <c r="J5" t="s">
        <v>349</v>
      </c>
      <c r="K5">
        <v>100</v>
      </c>
    </row>
    <row r="6" spans="1:16" x14ac:dyDescent="0.35">
      <c r="A6" t="str">
        <f t="shared" si="0"/>
        <v>d3</v>
      </c>
      <c r="B6" t="s">
        <v>357</v>
      </c>
      <c r="C6" t="s">
        <v>247</v>
      </c>
      <c r="D6" t="s">
        <v>358</v>
      </c>
      <c r="E6" t="s">
        <v>359</v>
      </c>
      <c r="F6" t="s">
        <v>360</v>
      </c>
      <c r="G6">
        <v>1200000</v>
      </c>
      <c r="H6" t="s">
        <v>361</v>
      </c>
      <c r="I6" t="s">
        <v>362</v>
      </c>
      <c r="J6" t="s">
        <v>363</v>
      </c>
      <c r="K6">
        <v>60</v>
      </c>
      <c r="L6" t="s">
        <v>349</v>
      </c>
      <c r="M6">
        <v>40</v>
      </c>
    </row>
    <row r="7" spans="1:16" x14ac:dyDescent="0.35">
      <c r="A7" t="str">
        <f t="shared" si="0"/>
        <v>d4</v>
      </c>
      <c r="B7" t="s">
        <v>364</v>
      </c>
      <c r="C7" t="s">
        <v>247</v>
      </c>
      <c r="D7" t="s">
        <v>358</v>
      </c>
      <c r="E7" t="s">
        <v>359</v>
      </c>
      <c r="F7" t="s">
        <v>365</v>
      </c>
      <c r="G7">
        <v>1400000</v>
      </c>
      <c r="H7" t="s">
        <v>366</v>
      </c>
      <c r="I7" t="s">
        <v>367</v>
      </c>
      <c r="J7" t="s">
        <v>363</v>
      </c>
      <c r="K7">
        <v>70</v>
      </c>
      <c r="L7" t="s">
        <v>349</v>
      </c>
      <c r="M7">
        <v>30</v>
      </c>
    </row>
    <row r="8" spans="1:16" x14ac:dyDescent="0.35">
      <c r="A8" t="str">
        <f t="shared" si="0"/>
        <v>d5</v>
      </c>
      <c r="B8" t="s">
        <v>368</v>
      </c>
      <c r="C8" t="s">
        <v>247</v>
      </c>
      <c r="D8" t="s">
        <v>358</v>
      </c>
      <c r="E8" t="s">
        <v>369</v>
      </c>
      <c r="F8" t="s">
        <v>370</v>
      </c>
      <c r="G8">
        <v>12500000</v>
      </c>
      <c r="H8" t="s">
        <v>371</v>
      </c>
      <c r="I8" t="s">
        <v>372</v>
      </c>
      <c r="J8" t="s">
        <v>349</v>
      </c>
      <c r="K8">
        <v>50</v>
      </c>
      <c r="L8" t="s">
        <v>363</v>
      </c>
      <c r="M8">
        <v>30</v>
      </c>
      <c r="N8" t="s">
        <v>350</v>
      </c>
      <c r="O8">
        <v>20</v>
      </c>
    </row>
    <row r="9" spans="1:16" x14ac:dyDescent="0.35">
      <c r="A9" t="str">
        <f t="shared" si="0"/>
        <v>d6</v>
      </c>
      <c r="B9" t="s">
        <v>373</v>
      </c>
      <c r="C9" t="s">
        <v>251</v>
      </c>
      <c r="D9" t="s">
        <v>374</v>
      </c>
      <c r="E9" t="s">
        <v>375</v>
      </c>
      <c r="F9" t="s">
        <v>354</v>
      </c>
      <c r="G9">
        <v>8000000</v>
      </c>
      <c r="H9" t="s">
        <v>376</v>
      </c>
      <c r="I9" t="s">
        <v>377</v>
      </c>
      <c r="J9" t="s">
        <v>350</v>
      </c>
      <c r="K9">
        <v>80</v>
      </c>
      <c r="L9" t="s">
        <v>378</v>
      </c>
      <c r="M9">
        <v>20</v>
      </c>
    </row>
    <row r="10" spans="1:16" x14ac:dyDescent="0.35">
      <c r="A10" t="str">
        <f t="shared" si="0"/>
        <v>d7</v>
      </c>
      <c r="B10" t="s">
        <v>379</v>
      </c>
      <c r="C10" t="s">
        <v>255</v>
      </c>
      <c r="D10" t="s">
        <v>380</v>
      </c>
      <c r="E10" t="s">
        <v>369</v>
      </c>
      <c r="F10" t="s">
        <v>365</v>
      </c>
      <c r="G10">
        <v>19000000</v>
      </c>
      <c r="H10" t="s">
        <v>381</v>
      </c>
      <c r="I10" t="s">
        <v>382</v>
      </c>
      <c r="J10" t="s">
        <v>383</v>
      </c>
      <c r="K10">
        <v>60</v>
      </c>
      <c r="L10" t="s">
        <v>349</v>
      </c>
      <c r="M10">
        <v>40</v>
      </c>
    </row>
    <row r="11" spans="1:16" x14ac:dyDescent="0.35">
      <c r="A11" t="str">
        <f t="shared" si="0"/>
        <v>d8</v>
      </c>
      <c r="B11" t="s">
        <v>384</v>
      </c>
      <c r="C11" t="s">
        <v>255</v>
      </c>
      <c r="D11" t="s">
        <v>385</v>
      </c>
      <c r="E11" t="s">
        <v>345</v>
      </c>
      <c r="F11" t="s">
        <v>346</v>
      </c>
      <c r="G11">
        <v>6200000</v>
      </c>
      <c r="H11" t="s">
        <v>386</v>
      </c>
      <c r="I11" t="s">
        <v>361</v>
      </c>
      <c r="J11" t="s">
        <v>383</v>
      </c>
      <c r="K11">
        <v>100</v>
      </c>
    </row>
    <row r="12" spans="1:16" x14ac:dyDescent="0.35">
      <c r="A12" t="str">
        <f t="shared" si="0"/>
        <v>d9</v>
      </c>
      <c r="B12" t="s">
        <v>387</v>
      </c>
      <c r="C12" t="s">
        <v>259</v>
      </c>
      <c r="D12" t="s">
        <v>388</v>
      </c>
      <c r="E12" t="s">
        <v>359</v>
      </c>
      <c r="F12" t="s">
        <v>360</v>
      </c>
      <c r="G12">
        <v>3500000</v>
      </c>
      <c r="H12" t="s">
        <v>389</v>
      </c>
      <c r="I12" t="s">
        <v>390</v>
      </c>
      <c r="J12" t="s">
        <v>349</v>
      </c>
      <c r="K12">
        <v>50</v>
      </c>
      <c r="L12" t="s">
        <v>383</v>
      </c>
      <c r="M12">
        <v>50</v>
      </c>
    </row>
    <row r="13" spans="1:16" x14ac:dyDescent="0.35">
      <c r="A13" t="str">
        <f t="shared" si="0"/>
        <v>d10</v>
      </c>
      <c r="B13" t="s">
        <v>391</v>
      </c>
      <c r="C13" t="s">
        <v>259</v>
      </c>
      <c r="D13" t="s">
        <v>388</v>
      </c>
      <c r="E13" t="s">
        <v>359</v>
      </c>
      <c r="F13" t="s">
        <v>370</v>
      </c>
      <c r="G13">
        <v>4200000</v>
      </c>
      <c r="H13" t="s">
        <v>392</v>
      </c>
      <c r="I13" t="s">
        <v>393</v>
      </c>
      <c r="J13" t="s">
        <v>349</v>
      </c>
      <c r="K13">
        <v>60</v>
      </c>
      <c r="L13" t="s">
        <v>383</v>
      </c>
      <c r="M13">
        <v>40</v>
      </c>
    </row>
    <row r="14" spans="1:16" x14ac:dyDescent="0.35">
      <c r="A14" t="str">
        <f t="shared" si="0"/>
        <v>d11</v>
      </c>
      <c r="B14" t="s">
        <v>394</v>
      </c>
      <c r="C14" t="s">
        <v>259</v>
      </c>
      <c r="D14" t="s">
        <v>388</v>
      </c>
      <c r="E14" t="s">
        <v>375</v>
      </c>
      <c r="F14" t="s">
        <v>346</v>
      </c>
      <c r="G14">
        <v>15000000</v>
      </c>
      <c r="H14" t="s">
        <v>395</v>
      </c>
      <c r="I14" t="s">
        <v>396</v>
      </c>
      <c r="J14" t="s">
        <v>349</v>
      </c>
      <c r="K14">
        <v>40</v>
      </c>
      <c r="L14" t="s">
        <v>383</v>
      </c>
      <c r="M14">
        <v>40</v>
      </c>
      <c r="N14" t="s">
        <v>363</v>
      </c>
      <c r="O14">
        <v>20</v>
      </c>
    </row>
    <row r="15" spans="1:16" x14ac:dyDescent="0.35">
      <c r="A15" t="str">
        <f t="shared" si="0"/>
        <v>d12</v>
      </c>
      <c r="B15" t="s">
        <v>397</v>
      </c>
      <c r="C15" t="s">
        <v>262</v>
      </c>
      <c r="D15" t="s">
        <v>398</v>
      </c>
      <c r="E15" t="s">
        <v>353</v>
      </c>
      <c r="F15" t="s">
        <v>360</v>
      </c>
      <c r="G15">
        <v>180000</v>
      </c>
      <c r="H15" t="s">
        <v>399</v>
      </c>
      <c r="I15" t="s">
        <v>400</v>
      </c>
      <c r="J15" t="s">
        <v>363</v>
      </c>
      <c r="K15">
        <v>100</v>
      </c>
    </row>
    <row r="16" spans="1:16" x14ac:dyDescent="0.35">
      <c r="A16" t="str">
        <f t="shared" si="0"/>
        <v>d13</v>
      </c>
      <c r="B16" t="s">
        <v>401</v>
      </c>
      <c r="C16" t="s">
        <v>262</v>
      </c>
      <c r="D16" t="s">
        <v>398</v>
      </c>
      <c r="E16" t="s">
        <v>353</v>
      </c>
      <c r="F16" t="s">
        <v>346</v>
      </c>
      <c r="G16">
        <v>220000</v>
      </c>
      <c r="H16" t="s">
        <v>402</v>
      </c>
      <c r="I16" t="s">
        <v>403</v>
      </c>
      <c r="J16" t="s">
        <v>363</v>
      </c>
      <c r="K16">
        <v>70</v>
      </c>
      <c r="L16" t="s">
        <v>383</v>
      </c>
      <c r="M16">
        <v>30</v>
      </c>
    </row>
    <row r="17" spans="1:15" x14ac:dyDescent="0.35">
      <c r="A17" t="str">
        <f t="shared" si="0"/>
        <v>d14</v>
      </c>
      <c r="B17" t="s">
        <v>404</v>
      </c>
      <c r="C17" t="s">
        <v>266</v>
      </c>
      <c r="D17" t="s">
        <v>405</v>
      </c>
      <c r="E17" t="s">
        <v>369</v>
      </c>
      <c r="F17" t="s">
        <v>365</v>
      </c>
      <c r="G17">
        <v>24000000</v>
      </c>
      <c r="H17" t="s">
        <v>406</v>
      </c>
      <c r="I17" t="s">
        <v>407</v>
      </c>
      <c r="J17" t="s">
        <v>349</v>
      </c>
      <c r="K17">
        <v>40</v>
      </c>
      <c r="L17" t="s">
        <v>350</v>
      </c>
      <c r="M17">
        <v>30</v>
      </c>
      <c r="N17" t="s">
        <v>378</v>
      </c>
      <c r="O17">
        <v>30</v>
      </c>
    </row>
    <row r="18" spans="1:15" x14ac:dyDescent="0.35">
      <c r="A18" t="str">
        <f t="shared" si="0"/>
        <v>d15</v>
      </c>
      <c r="B18" t="s">
        <v>408</v>
      </c>
      <c r="C18" t="s">
        <v>270</v>
      </c>
      <c r="D18" t="s">
        <v>409</v>
      </c>
      <c r="E18" t="s">
        <v>375</v>
      </c>
      <c r="F18" t="s">
        <v>370</v>
      </c>
      <c r="G18">
        <v>25000000</v>
      </c>
      <c r="H18" t="s">
        <v>410</v>
      </c>
      <c r="I18" t="s">
        <v>411</v>
      </c>
      <c r="J18" t="s">
        <v>350</v>
      </c>
      <c r="K18">
        <v>70</v>
      </c>
      <c r="L18" t="s">
        <v>378</v>
      </c>
      <c r="M18">
        <v>30</v>
      </c>
    </row>
    <row r="19" spans="1:15" x14ac:dyDescent="0.35">
      <c r="A19" t="str">
        <f t="shared" si="0"/>
        <v>d16</v>
      </c>
      <c r="B19" t="s">
        <v>412</v>
      </c>
      <c r="C19" t="s">
        <v>270</v>
      </c>
      <c r="D19" t="s">
        <v>409</v>
      </c>
      <c r="E19" t="s">
        <v>369</v>
      </c>
      <c r="F19" t="s">
        <v>346</v>
      </c>
      <c r="G19">
        <v>45000000</v>
      </c>
      <c r="H19" t="s">
        <v>371</v>
      </c>
      <c r="I19" t="s">
        <v>413</v>
      </c>
      <c r="J19" t="s">
        <v>350</v>
      </c>
      <c r="K19">
        <v>60</v>
      </c>
      <c r="L19" t="s">
        <v>349</v>
      </c>
      <c r="M19">
        <v>40</v>
      </c>
    </row>
    <row r="20" spans="1:15" x14ac:dyDescent="0.35">
      <c r="A20" t="str">
        <f t="shared" si="0"/>
        <v>d17</v>
      </c>
      <c r="B20" t="s">
        <v>414</v>
      </c>
      <c r="C20" t="s">
        <v>274</v>
      </c>
      <c r="D20" t="s">
        <v>415</v>
      </c>
      <c r="E20" t="s">
        <v>359</v>
      </c>
      <c r="F20" t="s">
        <v>354</v>
      </c>
      <c r="G20">
        <v>2100000</v>
      </c>
      <c r="H20" t="s">
        <v>416</v>
      </c>
      <c r="I20" t="s">
        <v>417</v>
      </c>
      <c r="J20" t="s">
        <v>363</v>
      </c>
      <c r="K20">
        <v>100</v>
      </c>
    </row>
    <row r="21" spans="1:15" x14ac:dyDescent="0.35">
      <c r="A21" t="str">
        <f t="shared" si="0"/>
        <v>d18</v>
      </c>
      <c r="B21" t="s">
        <v>418</v>
      </c>
      <c r="C21" t="s">
        <v>278</v>
      </c>
      <c r="D21" t="s">
        <v>419</v>
      </c>
      <c r="E21" t="s">
        <v>353</v>
      </c>
      <c r="F21" t="s">
        <v>354</v>
      </c>
      <c r="G21">
        <v>310000</v>
      </c>
      <c r="H21" t="s">
        <v>420</v>
      </c>
      <c r="I21" t="s">
        <v>421</v>
      </c>
      <c r="J21" t="s">
        <v>349</v>
      </c>
      <c r="K21">
        <v>60</v>
      </c>
      <c r="L21" t="s">
        <v>363</v>
      </c>
      <c r="M21">
        <v>40</v>
      </c>
    </row>
    <row r="22" spans="1:15" x14ac:dyDescent="0.35">
      <c r="A22" t="str">
        <f t="shared" si="0"/>
        <v>d19</v>
      </c>
      <c r="B22" t="s">
        <v>422</v>
      </c>
      <c r="C22" t="s">
        <v>278</v>
      </c>
      <c r="D22" t="s">
        <v>419</v>
      </c>
      <c r="E22" t="s">
        <v>369</v>
      </c>
      <c r="F22" t="s">
        <v>370</v>
      </c>
      <c r="G22">
        <v>18000000</v>
      </c>
      <c r="H22" t="s">
        <v>423</v>
      </c>
      <c r="I22" t="s">
        <v>424</v>
      </c>
      <c r="J22" t="s">
        <v>349</v>
      </c>
      <c r="K22">
        <v>50</v>
      </c>
      <c r="L22" t="s">
        <v>363</v>
      </c>
      <c r="M22">
        <v>50</v>
      </c>
    </row>
    <row r="23" spans="1:15" x14ac:dyDescent="0.35">
      <c r="A23" t="str">
        <f t="shared" si="0"/>
        <v>d20</v>
      </c>
      <c r="B23" t="s">
        <v>425</v>
      </c>
      <c r="C23" t="s">
        <v>282</v>
      </c>
      <c r="D23" t="s">
        <v>426</v>
      </c>
      <c r="E23" t="s">
        <v>375</v>
      </c>
      <c r="F23" t="s">
        <v>365</v>
      </c>
      <c r="G23">
        <v>60000000</v>
      </c>
      <c r="H23" t="s">
        <v>355</v>
      </c>
      <c r="I23" t="s">
        <v>427</v>
      </c>
      <c r="J23" t="s">
        <v>383</v>
      </c>
      <c r="K23">
        <v>80</v>
      </c>
      <c r="L23" t="s">
        <v>378</v>
      </c>
      <c r="M23">
        <v>20</v>
      </c>
    </row>
    <row r="24" spans="1:15" x14ac:dyDescent="0.35">
      <c r="A24" t="str">
        <f t="shared" si="0"/>
        <v>d21</v>
      </c>
      <c r="B24" t="s">
        <v>428</v>
      </c>
      <c r="C24" t="s">
        <v>286</v>
      </c>
      <c r="D24" t="s">
        <v>429</v>
      </c>
      <c r="E24" t="s">
        <v>353</v>
      </c>
      <c r="F24" t="s">
        <v>430</v>
      </c>
      <c r="G24">
        <v>90000</v>
      </c>
      <c r="H24" t="s">
        <v>431</v>
      </c>
      <c r="I24" t="s">
        <v>432</v>
      </c>
      <c r="J24" t="s">
        <v>350</v>
      </c>
      <c r="K24">
        <v>100</v>
      </c>
    </row>
    <row r="25" spans="1:15" x14ac:dyDescent="0.35">
      <c r="A25" t="str">
        <f t="shared" si="0"/>
        <v>d22</v>
      </c>
      <c r="B25" t="s">
        <v>433</v>
      </c>
      <c r="C25" t="s">
        <v>286</v>
      </c>
      <c r="D25" t="s">
        <v>429</v>
      </c>
      <c r="E25" t="s">
        <v>359</v>
      </c>
      <c r="F25" t="s">
        <v>346</v>
      </c>
      <c r="G25">
        <v>800000</v>
      </c>
      <c r="H25" t="s">
        <v>376</v>
      </c>
      <c r="I25" t="s">
        <v>434</v>
      </c>
      <c r="J25" t="s">
        <v>350</v>
      </c>
      <c r="K25">
        <v>100</v>
      </c>
    </row>
    <row r="26" spans="1:15" x14ac:dyDescent="0.35">
      <c r="A26" t="str">
        <f t="shared" si="0"/>
        <v>d23</v>
      </c>
      <c r="B26" t="s">
        <v>435</v>
      </c>
      <c r="C26" t="s">
        <v>290</v>
      </c>
      <c r="D26" t="s">
        <v>436</v>
      </c>
      <c r="E26" t="s">
        <v>375</v>
      </c>
      <c r="F26" t="s">
        <v>354</v>
      </c>
      <c r="G26">
        <v>12000000</v>
      </c>
      <c r="H26" t="s">
        <v>347</v>
      </c>
      <c r="I26" t="s">
        <v>431</v>
      </c>
      <c r="J26" t="s">
        <v>383</v>
      </c>
      <c r="K26">
        <v>70</v>
      </c>
      <c r="L26" t="s">
        <v>349</v>
      </c>
      <c r="M26">
        <v>30</v>
      </c>
    </row>
    <row r="27" spans="1:15" x14ac:dyDescent="0.35">
      <c r="A27" t="str">
        <f t="shared" si="0"/>
        <v>d24</v>
      </c>
      <c r="B27" t="s">
        <v>437</v>
      </c>
      <c r="C27" t="s">
        <v>293</v>
      </c>
      <c r="D27" t="s">
        <v>438</v>
      </c>
      <c r="E27" t="s">
        <v>359</v>
      </c>
      <c r="F27" t="s">
        <v>360</v>
      </c>
      <c r="G27">
        <v>2800000</v>
      </c>
      <c r="H27" t="s">
        <v>348</v>
      </c>
      <c r="I27" t="s">
        <v>407</v>
      </c>
      <c r="J27" t="s">
        <v>383</v>
      </c>
      <c r="K27">
        <v>100</v>
      </c>
    </row>
    <row r="28" spans="1:15" x14ac:dyDescent="0.35">
      <c r="A28" t="str">
        <f t="shared" si="0"/>
        <v>d25</v>
      </c>
      <c r="B28" t="s">
        <v>439</v>
      </c>
      <c r="C28" t="s">
        <v>293</v>
      </c>
      <c r="D28" t="s">
        <v>438</v>
      </c>
      <c r="E28" t="s">
        <v>359</v>
      </c>
      <c r="F28" t="s">
        <v>346</v>
      </c>
      <c r="G28">
        <v>3300000</v>
      </c>
      <c r="H28" t="s">
        <v>440</v>
      </c>
      <c r="I28" t="s">
        <v>441</v>
      </c>
      <c r="J28" t="s">
        <v>383</v>
      </c>
      <c r="K28">
        <v>70</v>
      </c>
      <c r="L28" t="s">
        <v>349</v>
      </c>
      <c r="M28">
        <v>30</v>
      </c>
    </row>
    <row r="29" spans="1:15" x14ac:dyDescent="0.35">
      <c r="A29" t="str">
        <f t="shared" si="0"/>
        <v>d26</v>
      </c>
      <c r="B29" t="s">
        <v>442</v>
      </c>
      <c r="C29" t="s">
        <v>297</v>
      </c>
      <c r="D29" t="s">
        <v>443</v>
      </c>
      <c r="E29" t="s">
        <v>345</v>
      </c>
      <c r="F29" t="s">
        <v>346</v>
      </c>
      <c r="G29">
        <v>5400000</v>
      </c>
      <c r="H29" t="s">
        <v>444</v>
      </c>
      <c r="I29" t="s">
        <v>445</v>
      </c>
      <c r="J29" t="s">
        <v>363</v>
      </c>
      <c r="K29">
        <v>80</v>
      </c>
      <c r="L29" t="s">
        <v>349</v>
      </c>
      <c r="M29">
        <v>20</v>
      </c>
    </row>
    <row r="30" spans="1:15" x14ac:dyDescent="0.35">
      <c r="A30" t="str">
        <f t="shared" si="0"/>
        <v>d27</v>
      </c>
      <c r="B30" t="s">
        <v>446</v>
      </c>
      <c r="C30" t="s">
        <v>301</v>
      </c>
      <c r="D30" t="s">
        <v>447</v>
      </c>
      <c r="E30" t="s">
        <v>353</v>
      </c>
      <c r="F30" t="s">
        <v>354</v>
      </c>
      <c r="G30">
        <v>420000</v>
      </c>
      <c r="H30" t="s">
        <v>448</v>
      </c>
      <c r="I30" t="s">
        <v>449</v>
      </c>
      <c r="J30" t="s">
        <v>363</v>
      </c>
      <c r="K30">
        <v>100</v>
      </c>
    </row>
    <row r="31" spans="1:15" x14ac:dyDescent="0.35">
      <c r="A31" t="str">
        <f t="shared" si="0"/>
        <v>d28</v>
      </c>
      <c r="B31" t="s">
        <v>450</v>
      </c>
      <c r="C31" t="s">
        <v>307</v>
      </c>
      <c r="D31" t="s">
        <v>451</v>
      </c>
      <c r="E31" t="s">
        <v>369</v>
      </c>
      <c r="F31" t="s">
        <v>365</v>
      </c>
      <c r="G31">
        <v>38000000</v>
      </c>
      <c r="H31" t="s">
        <v>392</v>
      </c>
      <c r="I31" t="s">
        <v>452</v>
      </c>
      <c r="J31" t="s">
        <v>349</v>
      </c>
      <c r="K31">
        <v>50</v>
      </c>
      <c r="L31" t="s">
        <v>350</v>
      </c>
      <c r="M31">
        <v>30</v>
      </c>
      <c r="N31" t="s">
        <v>378</v>
      </c>
      <c r="O31">
        <v>20</v>
      </c>
    </row>
    <row r="32" spans="1:15" x14ac:dyDescent="0.35">
      <c r="A32" t="str">
        <f t="shared" si="0"/>
        <v>d29</v>
      </c>
      <c r="B32" t="s">
        <v>453</v>
      </c>
      <c r="C32" t="s">
        <v>310</v>
      </c>
      <c r="D32" t="s">
        <v>454</v>
      </c>
      <c r="E32" t="s">
        <v>359</v>
      </c>
      <c r="F32" t="s">
        <v>354</v>
      </c>
      <c r="G32">
        <v>5500000</v>
      </c>
      <c r="H32" t="s">
        <v>376</v>
      </c>
      <c r="I32" t="s">
        <v>455</v>
      </c>
      <c r="J32" t="s">
        <v>350</v>
      </c>
      <c r="K32">
        <v>60</v>
      </c>
      <c r="L32" t="s">
        <v>349</v>
      </c>
      <c r="M32">
        <v>40</v>
      </c>
    </row>
    <row r="33" spans="1:15" x14ac:dyDescent="0.35">
      <c r="A33" t="str">
        <f t="shared" si="0"/>
        <v>d30</v>
      </c>
      <c r="B33" t="s">
        <v>456</v>
      </c>
      <c r="C33" t="s">
        <v>457</v>
      </c>
      <c r="E33" t="s">
        <v>359</v>
      </c>
      <c r="F33" t="s">
        <v>360</v>
      </c>
      <c r="G33">
        <v>1900000</v>
      </c>
      <c r="H33" t="s">
        <v>377</v>
      </c>
      <c r="I33" t="s">
        <v>458</v>
      </c>
      <c r="J33" t="s">
        <v>349</v>
      </c>
      <c r="K33">
        <v>100</v>
      </c>
    </row>
    <row r="34" spans="1:15" x14ac:dyDescent="0.35">
      <c r="A34" t="str">
        <f t="shared" si="0"/>
        <v>d31</v>
      </c>
      <c r="B34" t="s">
        <v>459</v>
      </c>
      <c r="C34" t="s">
        <v>460</v>
      </c>
      <c r="E34" t="s">
        <v>369</v>
      </c>
      <c r="F34" t="s">
        <v>346</v>
      </c>
      <c r="G34">
        <v>32000000</v>
      </c>
      <c r="H34" t="s">
        <v>461</v>
      </c>
      <c r="I34" t="s">
        <v>417</v>
      </c>
      <c r="J34" t="s">
        <v>349</v>
      </c>
      <c r="K34">
        <v>50</v>
      </c>
      <c r="L34" t="s">
        <v>363</v>
      </c>
      <c r="M34">
        <v>50</v>
      </c>
    </row>
    <row r="35" spans="1:15" x14ac:dyDescent="0.35">
      <c r="A35" t="str">
        <f t="shared" si="0"/>
        <v>d32</v>
      </c>
      <c r="B35" t="s">
        <v>462</v>
      </c>
      <c r="C35" t="s">
        <v>313</v>
      </c>
      <c r="D35" t="s">
        <v>463</v>
      </c>
      <c r="E35" t="s">
        <v>375</v>
      </c>
      <c r="F35" t="s">
        <v>354</v>
      </c>
      <c r="G35">
        <v>6500000</v>
      </c>
      <c r="H35" t="s">
        <v>416</v>
      </c>
      <c r="I35" t="s">
        <v>413</v>
      </c>
      <c r="J35" t="s">
        <v>363</v>
      </c>
      <c r="K35">
        <v>100</v>
      </c>
    </row>
    <row r="36" spans="1:15" x14ac:dyDescent="0.35">
      <c r="A36" t="str">
        <f t="shared" ref="A36:A67" si="1">IF(B36="","","d"&amp;ROW()-3)</f>
        <v>d33</v>
      </c>
      <c r="B36" t="s">
        <v>464</v>
      </c>
      <c r="C36" t="s">
        <v>465</v>
      </c>
      <c r="E36" t="s">
        <v>353</v>
      </c>
      <c r="F36" t="s">
        <v>346</v>
      </c>
      <c r="G36">
        <v>180000</v>
      </c>
      <c r="H36" t="s">
        <v>381</v>
      </c>
      <c r="I36" t="s">
        <v>367</v>
      </c>
      <c r="J36" t="s">
        <v>363</v>
      </c>
      <c r="K36">
        <v>80</v>
      </c>
      <c r="L36" t="s">
        <v>378</v>
      </c>
      <c r="M36">
        <v>20</v>
      </c>
    </row>
    <row r="37" spans="1:15" x14ac:dyDescent="0.35">
      <c r="A37" t="str">
        <f t="shared" si="1"/>
        <v>d34</v>
      </c>
      <c r="B37" t="s">
        <v>466</v>
      </c>
      <c r="C37" t="s">
        <v>316</v>
      </c>
      <c r="D37" t="s">
        <v>467</v>
      </c>
      <c r="E37" t="s">
        <v>359</v>
      </c>
      <c r="F37" t="s">
        <v>365</v>
      </c>
      <c r="G37">
        <v>8500000</v>
      </c>
      <c r="H37" t="s">
        <v>366</v>
      </c>
      <c r="I37" t="s">
        <v>411</v>
      </c>
      <c r="J37" t="s">
        <v>363</v>
      </c>
      <c r="K37">
        <v>60</v>
      </c>
      <c r="L37" t="s">
        <v>349</v>
      </c>
      <c r="M37">
        <v>40</v>
      </c>
    </row>
    <row r="38" spans="1:15" x14ac:dyDescent="0.35">
      <c r="A38" t="str">
        <f t="shared" si="1"/>
        <v>d35</v>
      </c>
      <c r="B38" t="s">
        <v>468</v>
      </c>
      <c r="C38" t="s">
        <v>316</v>
      </c>
      <c r="D38" t="s">
        <v>467</v>
      </c>
      <c r="E38" t="s">
        <v>369</v>
      </c>
      <c r="F38" t="s">
        <v>370</v>
      </c>
      <c r="G38">
        <v>55000000</v>
      </c>
      <c r="H38" t="s">
        <v>423</v>
      </c>
      <c r="I38" t="s">
        <v>469</v>
      </c>
      <c r="J38" t="s">
        <v>363</v>
      </c>
      <c r="K38">
        <v>50</v>
      </c>
      <c r="L38" t="s">
        <v>349</v>
      </c>
      <c r="M38">
        <v>50</v>
      </c>
    </row>
    <row r="39" spans="1:15" x14ac:dyDescent="0.35">
      <c r="A39" t="str">
        <f t="shared" si="1"/>
        <v>d36</v>
      </c>
      <c r="B39" t="s">
        <v>470</v>
      </c>
      <c r="C39" t="s">
        <v>471</v>
      </c>
      <c r="E39" t="s">
        <v>359</v>
      </c>
      <c r="F39" t="s">
        <v>360</v>
      </c>
      <c r="G39">
        <v>1800000</v>
      </c>
      <c r="H39" t="s">
        <v>427</v>
      </c>
      <c r="I39" t="s">
        <v>472</v>
      </c>
      <c r="J39" t="s">
        <v>363</v>
      </c>
      <c r="K39">
        <v>100</v>
      </c>
    </row>
    <row r="40" spans="1:15" x14ac:dyDescent="0.35">
      <c r="A40" t="str">
        <f t="shared" si="1"/>
        <v>d37</v>
      </c>
      <c r="B40" t="s">
        <v>473</v>
      </c>
      <c r="C40" t="s">
        <v>320</v>
      </c>
      <c r="D40" t="s">
        <v>474</v>
      </c>
      <c r="E40" t="s">
        <v>359</v>
      </c>
      <c r="F40" t="s">
        <v>346</v>
      </c>
      <c r="G40">
        <v>4200000</v>
      </c>
      <c r="H40" t="s">
        <v>440</v>
      </c>
      <c r="I40" t="s">
        <v>475</v>
      </c>
      <c r="J40" t="s">
        <v>363</v>
      </c>
      <c r="K40">
        <v>70</v>
      </c>
      <c r="L40" t="s">
        <v>349</v>
      </c>
      <c r="M40">
        <v>30</v>
      </c>
    </row>
    <row r="41" spans="1:15" x14ac:dyDescent="0.35">
      <c r="A41" t="str">
        <f t="shared" si="1"/>
        <v>d38</v>
      </c>
      <c r="B41" t="s">
        <v>476</v>
      </c>
      <c r="C41" t="s">
        <v>477</v>
      </c>
      <c r="E41" t="s">
        <v>353</v>
      </c>
      <c r="F41" t="s">
        <v>354</v>
      </c>
      <c r="G41">
        <v>290000</v>
      </c>
      <c r="H41" t="s">
        <v>406</v>
      </c>
      <c r="I41" t="s">
        <v>478</v>
      </c>
      <c r="J41" t="s">
        <v>349</v>
      </c>
      <c r="K41">
        <v>100</v>
      </c>
    </row>
    <row r="42" spans="1:15" x14ac:dyDescent="0.35">
      <c r="A42" t="str">
        <f t="shared" si="1"/>
        <v>d39</v>
      </c>
      <c r="B42" t="s">
        <v>479</v>
      </c>
      <c r="C42" t="s">
        <v>324</v>
      </c>
      <c r="D42" t="s">
        <v>480</v>
      </c>
      <c r="E42" t="s">
        <v>345</v>
      </c>
      <c r="F42" t="s">
        <v>365</v>
      </c>
      <c r="G42">
        <v>9500000</v>
      </c>
      <c r="H42" t="s">
        <v>355</v>
      </c>
      <c r="I42" t="s">
        <v>481</v>
      </c>
      <c r="J42" t="s">
        <v>363</v>
      </c>
      <c r="K42">
        <v>50</v>
      </c>
      <c r="L42" t="s">
        <v>349</v>
      </c>
      <c r="M42">
        <v>50</v>
      </c>
    </row>
    <row r="43" spans="1:15" x14ac:dyDescent="0.35">
      <c r="A43" t="str">
        <f t="shared" si="1"/>
        <v>d40</v>
      </c>
      <c r="B43" t="s">
        <v>482</v>
      </c>
      <c r="C43" t="s">
        <v>483</v>
      </c>
      <c r="E43" t="s">
        <v>359</v>
      </c>
      <c r="F43" t="s">
        <v>346</v>
      </c>
      <c r="G43">
        <v>1400000</v>
      </c>
      <c r="H43" t="s">
        <v>347</v>
      </c>
      <c r="I43" t="s">
        <v>396</v>
      </c>
      <c r="J43" t="s">
        <v>383</v>
      </c>
      <c r="K43">
        <v>80</v>
      </c>
      <c r="L43" t="s">
        <v>349</v>
      </c>
      <c r="M43">
        <v>20</v>
      </c>
    </row>
    <row r="44" spans="1:15" x14ac:dyDescent="0.35">
      <c r="A44" t="str">
        <f t="shared" si="1"/>
        <v>d41</v>
      </c>
      <c r="B44" t="s">
        <v>484</v>
      </c>
      <c r="C44" t="s">
        <v>485</v>
      </c>
      <c r="E44" t="s">
        <v>359</v>
      </c>
      <c r="F44" t="s">
        <v>354</v>
      </c>
      <c r="G44">
        <v>3200000</v>
      </c>
      <c r="H44" t="s">
        <v>448</v>
      </c>
      <c r="I44" t="s">
        <v>403</v>
      </c>
      <c r="J44" t="s">
        <v>383</v>
      </c>
      <c r="K44">
        <v>100</v>
      </c>
    </row>
    <row r="45" spans="1:15" x14ac:dyDescent="0.35">
      <c r="A45" t="str">
        <f t="shared" si="1"/>
        <v>d42</v>
      </c>
      <c r="B45" t="s">
        <v>486</v>
      </c>
      <c r="C45" t="s">
        <v>328</v>
      </c>
      <c r="D45" t="s">
        <v>487</v>
      </c>
      <c r="E45" t="s">
        <v>359</v>
      </c>
      <c r="F45" t="s">
        <v>365</v>
      </c>
      <c r="G45">
        <v>12000000</v>
      </c>
      <c r="H45" t="s">
        <v>488</v>
      </c>
      <c r="I45" t="s">
        <v>489</v>
      </c>
      <c r="J45" t="s">
        <v>383</v>
      </c>
      <c r="K45">
        <v>60</v>
      </c>
      <c r="L45" t="s">
        <v>349</v>
      </c>
      <c r="M45">
        <v>40</v>
      </c>
    </row>
    <row r="46" spans="1:15" x14ac:dyDescent="0.35">
      <c r="A46" t="str">
        <f t="shared" si="1"/>
        <v>d43</v>
      </c>
      <c r="B46" t="s">
        <v>490</v>
      </c>
      <c r="C46" t="s">
        <v>328</v>
      </c>
      <c r="D46" t="s">
        <v>487</v>
      </c>
      <c r="E46" t="s">
        <v>375</v>
      </c>
      <c r="F46" t="s">
        <v>346</v>
      </c>
      <c r="G46">
        <v>45000000</v>
      </c>
      <c r="H46" t="s">
        <v>386</v>
      </c>
      <c r="I46" t="s">
        <v>434</v>
      </c>
      <c r="J46" t="s">
        <v>383</v>
      </c>
      <c r="K46">
        <v>50</v>
      </c>
      <c r="L46" t="s">
        <v>349</v>
      </c>
      <c r="M46">
        <v>30</v>
      </c>
      <c r="N46" t="s">
        <v>378</v>
      </c>
      <c r="O46">
        <v>20</v>
      </c>
    </row>
    <row r="47" spans="1:15" x14ac:dyDescent="0.35">
      <c r="A47" t="str">
        <f t="shared" si="1"/>
        <v/>
      </c>
    </row>
    <row r="48" spans="1:15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si="1"/>
        <v/>
      </c>
    </row>
    <row r="65" spans="1:1" x14ac:dyDescent="0.35">
      <c r="A65" t="str">
        <f t="shared" si="1"/>
        <v/>
      </c>
    </row>
    <row r="66" spans="1:1" x14ac:dyDescent="0.35">
      <c r="A66" t="str">
        <f t="shared" si="1"/>
        <v/>
      </c>
    </row>
    <row r="67" spans="1:1" x14ac:dyDescent="0.35">
      <c r="A67" t="str">
        <f t="shared" si="1"/>
        <v/>
      </c>
    </row>
    <row r="68" spans="1:1" x14ac:dyDescent="0.35">
      <c r="A68" t="str">
        <f t="shared" ref="A68:A99" si="2">IF(B68="","","d"&amp;ROW()-3)</f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si="2"/>
        <v/>
      </c>
    </row>
    <row r="97" spans="1:1" x14ac:dyDescent="0.35">
      <c r="A97" t="str">
        <f t="shared" si="2"/>
        <v/>
      </c>
    </row>
    <row r="98" spans="1:1" x14ac:dyDescent="0.35">
      <c r="A98" t="str">
        <f t="shared" si="2"/>
        <v/>
      </c>
    </row>
    <row r="99" spans="1:1" x14ac:dyDescent="0.35">
      <c r="A99" t="str">
        <f t="shared" si="2"/>
        <v/>
      </c>
    </row>
    <row r="100" spans="1:1" x14ac:dyDescent="0.35">
      <c r="A100" t="str">
        <f t="shared" ref="A100:A131" si="3">IF(B100="","","d"&amp;ROW()-3)</f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si="3"/>
        <v/>
      </c>
    </row>
    <row r="129" spans="1:1" x14ac:dyDescent="0.35">
      <c r="A129" t="str">
        <f t="shared" si="3"/>
        <v/>
      </c>
    </row>
    <row r="130" spans="1:1" x14ac:dyDescent="0.35">
      <c r="A130" t="str">
        <f t="shared" si="3"/>
        <v/>
      </c>
    </row>
    <row r="131" spans="1:1" x14ac:dyDescent="0.35">
      <c r="A131" t="str">
        <f t="shared" si="3"/>
        <v/>
      </c>
    </row>
    <row r="132" spans="1:1" x14ac:dyDescent="0.35">
      <c r="A132" t="str">
        <f t="shared" ref="A132:A163" si="4">IF(B132="","","d"&amp;ROW()-3)</f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si="4"/>
        <v/>
      </c>
    </row>
    <row r="161" spans="1:1" x14ac:dyDescent="0.35">
      <c r="A161" t="str">
        <f t="shared" si="4"/>
        <v/>
      </c>
    </row>
    <row r="162" spans="1:1" x14ac:dyDescent="0.35">
      <c r="A162" t="str">
        <f t="shared" si="4"/>
        <v/>
      </c>
    </row>
    <row r="163" spans="1:1" x14ac:dyDescent="0.35">
      <c r="A163" t="str">
        <f t="shared" si="4"/>
        <v/>
      </c>
    </row>
    <row r="164" spans="1:1" x14ac:dyDescent="0.35">
      <c r="A164" t="str">
        <f t="shared" ref="A164:A195" si="5">IF(B164="","","d"&amp;ROW()-3)</f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si="5"/>
        <v/>
      </c>
    </row>
    <row r="193" spans="1:1" x14ac:dyDescent="0.35">
      <c r="A193" t="str">
        <f t="shared" si="5"/>
        <v/>
      </c>
    </row>
    <row r="194" spans="1:1" x14ac:dyDescent="0.35">
      <c r="A194" t="str">
        <f t="shared" si="5"/>
        <v/>
      </c>
    </row>
    <row r="195" spans="1:1" x14ac:dyDescent="0.35">
      <c r="A195" t="str">
        <f t="shared" si="5"/>
        <v/>
      </c>
    </row>
    <row r="196" spans="1:1" x14ac:dyDescent="0.35">
      <c r="A196" t="str">
        <f t="shared" ref="A196:A227" si="6">IF(B196="","","d"&amp;ROW()-3)</f>
        <v/>
      </c>
    </row>
    <row r="197" spans="1:1" x14ac:dyDescent="0.35">
      <c r="A197" t="str">
        <f t="shared" si="6"/>
        <v/>
      </c>
    </row>
    <row r="198" spans="1:1" x14ac:dyDescent="0.35">
      <c r="A198" t="str">
        <f t="shared" si="6"/>
        <v/>
      </c>
    </row>
    <row r="199" spans="1:1" x14ac:dyDescent="0.35">
      <c r="A199" t="str">
        <f t="shared" si="6"/>
        <v/>
      </c>
    </row>
    <row r="200" spans="1:1" x14ac:dyDescent="0.35">
      <c r="A200" t="str">
        <f t="shared" si="6"/>
        <v/>
      </c>
    </row>
  </sheetData>
  <dataValidations count="2">
    <dataValidation type="list" allowBlank="1" sqref="E4:E1000" xr:uid="{00000000-0002-0000-0400-000002000000}">
      <formula1>"advise,sell,raise,merge,expand,other"</formula1>
    </dataValidation>
    <dataValidation type="list" allowBlank="1" sqref="F4:F1000" xr:uid="{00000000-0002-0000-0400-000003000000}">
      <formula1>"prospect,qualified,proposal,negotiation,signed,closed-won,closed-lost"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'🤝 Clients'!$A$4:$A$200</xm:f>
          </x14:formula1>
          <xm:sqref>C4:C1000</xm:sqref>
        </x14:dataValidation>
        <x14:dataValidation type="list" allowBlank="1" xr:uid="{00000000-0002-0000-0400-000001000000}">
          <x14:formula1>
            <xm:f>'🏢 Companies'!$A$4:$A$200</xm:f>
          </x14:formula1>
          <xm:sqref>D4:D1000</xm:sqref>
        </x14:dataValidation>
        <x14:dataValidation type="list" allowBlank="1" xr:uid="{00000000-0002-0000-0400-000004000000}">
          <x14:formula1>
            <xm:f>'👥 Consultants'!$A$4:$A$196</xm:f>
          </x14:formula1>
          <xm:sqref>J4:J1000 N4:N1000 L4:L1000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16" customWidth="1"/>
    <col min="4" max="6" width="14" customWidth="1"/>
    <col min="7" max="7" width="26" customWidth="1"/>
    <col min="8" max="8" width="40" customWidth="1"/>
    <col min="9" max="9" width="10" customWidth="1"/>
    <col min="10" max="10" width="16" customWidth="1"/>
  </cols>
  <sheetData>
    <row r="1" spans="1:10" x14ac:dyDescent="0.35">
      <c r="A1" s="2" t="s">
        <v>18</v>
      </c>
    </row>
    <row r="2" spans="1:10" x14ac:dyDescent="0.35">
      <c r="B2" s="3" t="s">
        <v>19</v>
      </c>
    </row>
    <row r="3" spans="1:10" ht="32" customHeight="1" x14ac:dyDescent="0.35">
      <c r="A3" s="4" t="s">
        <v>20</v>
      </c>
      <c r="B3" s="4" t="s">
        <v>332</v>
      </c>
      <c r="C3" s="4" t="s">
        <v>491</v>
      </c>
      <c r="D3" s="4" t="s">
        <v>492</v>
      </c>
      <c r="E3" s="4" t="s">
        <v>331</v>
      </c>
      <c r="F3" s="4" t="s">
        <v>493</v>
      </c>
      <c r="G3" s="4" t="s">
        <v>494</v>
      </c>
      <c r="H3" s="4" t="s">
        <v>57</v>
      </c>
      <c r="I3" s="4" t="s">
        <v>495</v>
      </c>
      <c r="J3" s="4" t="s">
        <v>496</v>
      </c>
    </row>
    <row r="4" spans="1:10" x14ac:dyDescent="0.35">
      <c r="A4" t="str">
        <f t="shared" ref="A4:A35" si="0">IF(B4="","","a"&amp;ROW()-3)</f>
        <v>a1</v>
      </c>
      <c r="B4" t="s">
        <v>497</v>
      </c>
      <c r="C4" t="s">
        <v>424</v>
      </c>
      <c r="D4" t="s">
        <v>240</v>
      </c>
      <c r="E4" t="s">
        <v>344</v>
      </c>
      <c r="F4" t="s">
        <v>498</v>
      </c>
      <c r="G4" t="s">
        <v>499</v>
      </c>
      <c r="H4" t="s">
        <v>500</v>
      </c>
      <c r="I4" t="s">
        <v>36</v>
      </c>
      <c r="J4" t="s">
        <v>349</v>
      </c>
    </row>
    <row r="5" spans="1:10" x14ac:dyDescent="0.35">
      <c r="A5" t="str">
        <f t="shared" si="0"/>
        <v>a2</v>
      </c>
      <c r="B5" t="s">
        <v>501</v>
      </c>
      <c r="C5" t="s">
        <v>393</v>
      </c>
      <c r="D5" t="s">
        <v>240</v>
      </c>
      <c r="E5" t="s">
        <v>352</v>
      </c>
      <c r="F5" t="s">
        <v>502</v>
      </c>
      <c r="G5" t="s">
        <v>503</v>
      </c>
      <c r="H5" t="s">
        <v>504</v>
      </c>
      <c r="I5" t="s">
        <v>36</v>
      </c>
      <c r="J5" t="s">
        <v>363</v>
      </c>
    </row>
    <row r="6" spans="1:10" x14ac:dyDescent="0.35">
      <c r="A6" t="str">
        <f t="shared" si="0"/>
        <v>a3</v>
      </c>
      <c r="B6" t="s">
        <v>505</v>
      </c>
      <c r="C6" t="s">
        <v>506</v>
      </c>
      <c r="D6" t="s">
        <v>247</v>
      </c>
      <c r="E6" t="s">
        <v>358</v>
      </c>
      <c r="F6" t="s">
        <v>507</v>
      </c>
      <c r="G6" t="s">
        <v>508</v>
      </c>
      <c r="H6" t="s">
        <v>509</v>
      </c>
      <c r="I6" t="s">
        <v>36</v>
      </c>
      <c r="J6" t="s">
        <v>350</v>
      </c>
    </row>
    <row r="7" spans="1:10" x14ac:dyDescent="0.35">
      <c r="A7" t="str">
        <f t="shared" si="0"/>
        <v>a4</v>
      </c>
      <c r="B7" t="s">
        <v>497</v>
      </c>
      <c r="C7" t="s">
        <v>434</v>
      </c>
      <c r="D7" t="s">
        <v>247</v>
      </c>
      <c r="E7" t="s">
        <v>358</v>
      </c>
      <c r="G7" t="s">
        <v>510</v>
      </c>
      <c r="H7" t="s">
        <v>511</v>
      </c>
      <c r="I7" t="s">
        <v>36</v>
      </c>
      <c r="J7" t="s">
        <v>350</v>
      </c>
    </row>
    <row r="8" spans="1:10" x14ac:dyDescent="0.35">
      <c r="A8" t="str">
        <f t="shared" si="0"/>
        <v>a5</v>
      </c>
      <c r="B8" t="s">
        <v>512</v>
      </c>
      <c r="C8" t="s">
        <v>513</v>
      </c>
      <c r="D8" t="s">
        <v>251</v>
      </c>
      <c r="E8" t="s">
        <v>374</v>
      </c>
      <c r="F8" t="s">
        <v>514</v>
      </c>
      <c r="G8" t="s">
        <v>515</v>
      </c>
      <c r="H8" t="s">
        <v>516</v>
      </c>
      <c r="I8" t="s">
        <v>36</v>
      </c>
      <c r="J8" t="s">
        <v>383</v>
      </c>
    </row>
    <row r="9" spans="1:10" x14ac:dyDescent="0.35">
      <c r="A9" t="str">
        <f t="shared" si="0"/>
        <v>a6</v>
      </c>
      <c r="B9" t="s">
        <v>497</v>
      </c>
      <c r="C9" t="s">
        <v>396</v>
      </c>
      <c r="D9" t="s">
        <v>255</v>
      </c>
      <c r="E9" t="s">
        <v>385</v>
      </c>
      <c r="G9" t="s">
        <v>517</v>
      </c>
      <c r="H9" t="s">
        <v>518</v>
      </c>
      <c r="I9" t="s">
        <v>36</v>
      </c>
      <c r="J9" t="s">
        <v>349</v>
      </c>
    </row>
    <row r="10" spans="1:10" x14ac:dyDescent="0.35">
      <c r="A10" t="str">
        <f t="shared" si="0"/>
        <v>a7</v>
      </c>
      <c r="B10" t="s">
        <v>519</v>
      </c>
      <c r="C10" t="s">
        <v>469</v>
      </c>
      <c r="D10" t="s">
        <v>255</v>
      </c>
      <c r="E10" t="s">
        <v>380</v>
      </c>
      <c r="F10" t="s">
        <v>520</v>
      </c>
      <c r="G10" t="s">
        <v>521</v>
      </c>
      <c r="H10" t="s">
        <v>522</v>
      </c>
      <c r="I10" t="s">
        <v>36</v>
      </c>
      <c r="J10" t="s">
        <v>349</v>
      </c>
    </row>
    <row r="11" spans="1:10" x14ac:dyDescent="0.35">
      <c r="A11" t="str">
        <f t="shared" si="0"/>
        <v>a8</v>
      </c>
      <c r="B11" t="s">
        <v>501</v>
      </c>
      <c r="C11" t="s">
        <v>506</v>
      </c>
      <c r="D11" t="s">
        <v>259</v>
      </c>
      <c r="E11" t="s">
        <v>388</v>
      </c>
      <c r="F11" t="s">
        <v>523</v>
      </c>
      <c r="G11" t="s">
        <v>524</v>
      </c>
      <c r="H11" t="s">
        <v>525</v>
      </c>
      <c r="I11" t="s">
        <v>36</v>
      </c>
      <c r="J11" t="s">
        <v>383</v>
      </c>
    </row>
    <row r="12" spans="1:10" x14ac:dyDescent="0.35">
      <c r="A12" t="str">
        <f t="shared" si="0"/>
        <v>a9</v>
      </c>
      <c r="B12" t="s">
        <v>505</v>
      </c>
      <c r="C12" t="s">
        <v>361</v>
      </c>
      <c r="D12" t="s">
        <v>262</v>
      </c>
      <c r="E12" t="s">
        <v>398</v>
      </c>
      <c r="F12" t="s">
        <v>526</v>
      </c>
      <c r="G12" t="s">
        <v>527</v>
      </c>
      <c r="H12" t="s">
        <v>528</v>
      </c>
      <c r="I12" t="s">
        <v>36</v>
      </c>
      <c r="J12" t="s">
        <v>350</v>
      </c>
    </row>
    <row r="13" spans="1:10" x14ac:dyDescent="0.35">
      <c r="A13" t="str">
        <f t="shared" si="0"/>
        <v>a10</v>
      </c>
      <c r="B13" t="s">
        <v>497</v>
      </c>
      <c r="C13" t="s">
        <v>529</v>
      </c>
      <c r="D13" t="s">
        <v>266</v>
      </c>
      <c r="E13" t="s">
        <v>405</v>
      </c>
      <c r="F13" t="s">
        <v>530</v>
      </c>
      <c r="G13" t="s">
        <v>531</v>
      </c>
      <c r="H13" t="s">
        <v>532</v>
      </c>
      <c r="I13" t="s">
        <v>36</v>
      </c>
      <c r="J13" t="s">
        <v>350</v>
      </c>
    </row>
    <row r="14" spans="1:10" x14ac:dyDescent="0.35">
      <c r="A14" t="str">
        <f t="shared" si="0"/>
        <v>a11</v>
      </c>
      <c r="B14" t="s">
        <v>512</v>
      </c>
      <c r="C14" t="s">
        <v>533</v>
      </c>
      <c r="D14" t="s">
        <v>270</v>
      </c>
      <c r="E14" t="s">
        <v>409</v>
      </c>
      <c r="F14" t="s">
        <v>534</v>
      </c>
      <c r="G14" t="s">
        <v>535</v>
      </c>
      <c r="I14" t="s">
        <v>36</v>
      </c>
      <c r="J14" t="s">
        <v>383</v>
      </c>
    </row>
    <row r="15" spans="1:10" x14ac:dyDescent="0.35">
      <c r="A15" t="str">
        <f t="shared" si="0"/>
        <v>a12</v>
      </c>
      <c r="B15" t="s">
        <v>505</v>
      </c>
      <c r="C15" t="s">
        <v>372</v>
      </c>
      <c r="D15" t="s">
        <v>282</v>
      </c>
      <c r="E15" t="s">
        <v>426</v>
      </c>
      <c r="F15" t="s">
        <v>536</v>
      </c>
      <c r="G15" t="s">
        <v>537</v>
      </c>
      <c r="H15" t="s">
        <v>538</v>
      </c>
      <c r="I15" t="s">
        <v>36</v>
      </c>
      <c r="J15" t="s">
        <v>378</v>
      </c>
    </row>
    <row r="16" spans="1:10" x14ac:dyDescent="0.35">
      <c r="A16" t="str">
        <f t="shared" si="0"/>
        <v>a13</v>
      </c>
      <c r="B16" t="s">
        <v>519</v>
      </c>
      <c r="C16" t="s">
        <v>367</v>
      </c>
      <c r="D16" t="s">
        <v>286</v>
      </c>
      <c r="E16" t="s">
        <v>429</v>
      </c>
      <c r="F16" t="s">
        <v>539</v>
      </c>
      <c r="G16" t="s">
        <v>540</v>
      </c>
      <c r="H16" t="s">
        <v>541</v>
      </c>
      <c r="I16" t="s">
        <v>36</v>
      </c>
      <c r="J16" t="s">
        <v>363</v>
      </c>
    </row>
    <row r="17" spans="1:10" x14ac:dyDescent="0.35">
      <c r="A17" t="str">
        <f t="shared" si="0"/>
        <v>a14</v>
      </c>
      <c r="B17" t="s">
        <v>497</v>
      </c>
      <c r="C17" t="s">
        <v>542</v>
      </c>
      <c r="D17" t="s">
        <v>297</v>
      </c>
      <c r="E17" t="s">
        <v>443</v>
      </c>
      <c r="F17" t="s">
        <v>543</v>
      </c>
      <c r="G17" t="s">
        <v>544</v>
      </c>
      <c r="I17" t="s">
        <v>36</v>
      </c>
      <c r="J17" t="s">
        <v>350</v>
      </c>
    </row>
    <row r="18" spans="1:10" x14ac:dyDescent="0.35">
      <c r="A18" t="str">
        <f t="shared" si="0"/>
        <v>a15</v>
      </c>
      <c r="B18" t="s">
        <v>501</v>
      </c>
      <c r="C18" t="s">
        <v>411</v>
      </c>
      <c r="D18" t="s">
        <v>293</v>
      </c>
      <c r="E18" t="s">
        <v>438</v>
      </c>
      <c r="F18" t="s">
        <v>545</v>
      </c>
      <c r="G18" t="s">
        <v>546</v>
      </c>
      <c r="H18" t="s">
        <v>547</v>
      </c>
      <c r="I18" t="s">
        <v>36</v>
      </c>
      <c r="J18" t="s">
        <v>349</v>
      </c>
    </row>
    <row r="19" spans="1:10" x14ac:dyDescent="0.35">
      <c r="A19" t="str">
        <f t="shared" si="0"/>
        <v>a16</v>
      </c>
      <c r="B19" t="s">
        <v>512</v>
      </c>
      <c r="C19" t="s">
        <v>548</v>
      </c>
      <c r="D19" t="s">
        <v>278</v>
      </c>
      <c r="E19" t="s">
        <v>419</v>
      </c>
      <c r="F19" t="s">
        <v>549</v>
      </c>
      <c r="G19" t="s">
        <v>550</v>
      </c>
      <c r="I19" t="s">
        <v>36</v>
      </c>
      <c r="J19" t="s">
        <v>383</v>
      </c>
    </row>
    <row r="20" spans="1:10" x14ac:dyDescent="0.35">
      <c r="A20" t="str">
        <f t="shared" si="0"/>
        <v>a17</v>
      </c>
      <c r="B20" t="s">
        <v>497</v>
      </c>
      <c r="C20" t="s">
        <v>551</v>
      </c>
      <c r="D20" t="s">
        <v>262</v>
      </c>
      <c r="E20" t="s">
        <v>398</v>
      </c>
      <c r="F20" t="s">
        <v>552</v>
      </c>
      <c r="G20" t="s">
        <v>553</v>
      </c>
      <c r="H20" t="s">
        <v>554</v>
      </c>
      <c r="I20" t="s">
        <v>36</v>
      </c>
      <c r="J20" t="s">
        <v>350</v>
      </c>
    </row>
    <row r="21" spans="1:10" x14ac:dyDescent="0.35">
      <c r="A21" t="str">
        <f t="shared" si="0"/>
        <v>a18</v>
      </c>
      <c r="B21" t="s">
        <v>497</v>
      </c>
      <c r="C21" t="s">
        <v>555</v>
      </c>
      <c r="D21" t="s">
        <v>328</v>
      </c>
      <c r="E21" t="s">
        <v>487</v>
      </c>
      <c r="F21" t="s">
        <v>556</v>
      </c>
      <c r="G21" t="s">
        <v>557</v>
      </c>
      <c r="H21" t="s">
        <v>558</v>
      </c>
      <c r="I21" t="s">
        <v>36</v>
      </c>
      <c r="J21" t="s">
        <v>383</v>
      </c>
    </row>
    <row r="22" spans="1:10" x14ac:dyDescent="0.35">
      <c r="A22" t="str">
        <f t="shared" si="0"/>
        <v>a19</v>
      </c>
      <c r="B22" t="s">
        <v>501</v>
      </c>
      <c r="C22" t="s">
        <v>424</v>
      </c>
      <c r="D22" t="s">
        <v>316</v>
      </c>
      <c r="E22" t="s">
        <v>467</v>
      </c>
      <c r="F22" t="s">
        <v>559</v>
      </c>
      <c r="G22" t="s">
        <v>560</v>
      </c>
      <c r="I22" t="s">
        <v>36</v>
      </c>
      <c r="J22" t="s">
        <v>350</v>
      </c>
    </row>
    <row r="23" spans="1:10" x14ac:dyDescent="0.35">
      <c r="A23" t="str">
        <f t="shared" si="0"/>
        <v>a20</v>
      </c>
      <c r="B23" t="s">
        <v>505</v>
      </c>
      <c r="C23" t="s">
        <v>506</v>
      </c>
      <c r="D23" t="s">
        <v>307</v>
      </c>
      <c r="E23" t="s">
        <v>451</v>
      </c>
      <c r="F23" t="s">
        <v>561</v>
      </c>
      <c r="G23" t="s">
        <v>562</v>
      </c>
      <c r="H23" t="s">
        <v>563</v>
      </c>
      <c r="I23" t="s">
        <v>36</v>
      </c>
      <c r="J23" t="s">
        <v>378</v>
      </c>
    </row>
    <row r="24" spans="1:10" x14ac:dyDescent="0.35">
      <c r="A24" t="str">
        <f t="shared" si="0"/>
        <v/>
      </c>
    </row>
    <row r="25" spans="1:10" x14ac:dyDescent="0.35">
      <c r="A25" t="str">
        <f t="shared" si="0"/>
        <v/>
      </c>
    </row>
    <row r="26" spans="1:10" x14ac:dyDescent="0.35">
      <c r="A26" t="str">
        <f t="shared" si="0"/>
        <v/>
      </c>
    </row>
    <row r="27" spans="1:10" x14ac:dyDescent="0.35">
      <c r="A27" t="str">
        <f t="shared" si="0"/>
        <v/>
      </c>
    </row>
    <row r="28" spans="1:10" x14ac:dyDescent="0.35">
      <c r="A28" t="str">
        <f t="shared" si="0"/>
        <v/>
      </c>
    </row>
    <row r="29" spans="1:10" x14ac:dyDescent="0.35">
      <c r="A29" t="str">
        <f t="shared" si="0"/>
        <v/>
      </c>
    </row>
    <row r="30" spans="1:10" x14ac:dyDescent="0.35">
      <c r="A30" t="str">
        <f t="shared" si="0"/>
        <v/>
      </c>
    </row>
    <row r="31" spans="1:10" x14ac:dyDescent="0.35">
      <c r="A31" t="str">
        <f t="shared" si="0"/>
        <v/>
      </c>
    </row>
    <row r="32" spans="1:10" x14ac:dyDescent="0.35">
      <c r="A32" t="str">
        <f t="shared" si="0"/>
        <v/>
      </c>
    </row>
    <row r="33" spans="1:1" x14ac:dyDescent="0.35">
      <c r="A33" t="str">
        <f t="shared" si="0"/>
        <v/>
      </c>
    </row>
    <row r="34" spans="1:1" x14ac:dyDescent="0.35">
      <c r="A34" t="str">
        <f t="shared" si="0"/>
        <v/>
      </c>
    </row>
    <row r="35" spans="1:1" x14ac:dyDescent="0.35">
      <c r="A35" t="str">
        <f t="shared" si="0"/>
        <v/>
      </c>
    </row>
    <row r="36" spans="1:1" x14ac:dyDescent="0.35">
      <c r="A36" t="str">
        <f t="shared" ref="A36:A67" si="1">IF(B36="","","a"&amp;ROW()-3)</f>
        <v/>
      </c>
    </row>
    <row r="37" spans="1:1" x14ac:dyDescent="0.35">
      <c r="A37" t="str">
        <f t="shared" si="1"/>
        <v/>
      </c>
    </row>
    <row r="38" spans="1:1" x14ac:dyDescent="0.35">
      <c r="A38" t="str">
        <f t="shared" si="1"/>
        <v/>
      </c>
    </row>
    <row r="39" spans="1:1" x14ac:dyDescent="0.35">
      <c r="A39" t="str">
        <f t="shared" si="1"/>
        <v/>
      </c>
    </row>
    <row r="40" spans="1:1" x14ac:dyDescent="0.35">
      <c r="A40" t="str">
        <f t="shared" si="1"/>
        <v/>
      </c>
    </row>
    <row r="41" spans="1:1" x14ac:dyDescent="0.35">
      <c r="A41" t="str">
        <f t="shared" si="1"/>
        <v/>
      </c>
    </row>
    <row r="42" spans="1:1" x14ac:dyDescent="0.35">
      <c r="A42" t="str">
        <f t="shared" si="1"/>
        <v/>
      </c>
    </row>
    <row r="43" spans="1:1" x14ac:dyDescent="0.35">
      <c r="A43" t="str">
        <f t="shared" si="1"/>
        <v/>
      </c>
    </row>
    <row r="44" spans="1:1" x14ac:dyDescent="0.35">
      <c r="A44" t="str">
        <f t="shared" si="1"/>
        <v/>
      </c>
    </row>
    <row r="45" spans="1:1" x14ac:dyDescent="0.35">
      <c r="A45" t="str">
        <f t="shared" si="1"/>
        <v/>
      </c>
    </row>
    <row r="46" spans="1:1" x14ac:dyDescent="0.35">
      <c r="A46" t="str">
        <f t="shared" si="1"/>
        <v/>
      </c>
    </row>
    <row r="47" spans="1:1" x14ac:dyDescent="0.35">
      <c r="A47" t="str">
        <f t="shared" si="1"/>
        <v/>
      </c>
    </row>
    <row r="48" spans="1:1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si="1"/>
        <v/>
      </c>
    </row>
    <row r="65" spans="1:1" x14ac:dyDescent="0.35">
      <c r="A65" t="str">
        <f t="shared" si="1"/>
        <v/>
      </c>
    </row>
    <row r="66" spans="1:1" x14ac:dyDescent="0.35">
      <c r="A66" t="str">
        <f t="shared" si="1"/>
        <v/>
      </c>
    </row>
    <row r="67" spans="1:1" x14ac:dyDescent="0.35">
      <c r="A67" t="str">
        <f t="shared" si="1"/>
        <v/>
      </c>
    </row>
    <row r="68" spans="1:1" x14ac:dyDescent="0.35">
      <c r="A68" t="str">
        <f t="shared" ref="A68:A99" si="2">IF(B68="","","a"&amp;ROW()-3)</f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si="2"/>
        <v/>
      </c>
    </row>
    <row r="97" spans="1:1" x14ac:dyDescent="0.35">
      <c r="A97" t="str">
        <f t="shared" si="2"/>
        <v/>
      </c>
    </row>
    <row r="98" spans="1:1" x14ac:dyDescent="0.35">
      <c r="A98" t="str">
        <f t="shared" si="2"/>
        <v/>
      </c>
    </row>
    <row r="99" spans="1:1" x14ac:dyDescent="0.35">
      <c r="A99" t="str">
        <f t="shared" si="2"/>
        <v/>
      </c>
    </row>
    <row r="100" spans="1:1" x14ac:dyDescent="0.35">
      <c r="A100" t="str">
        <f t="shared" ref="A100:A131" si="3">IF(B100="","","a"&amp;ROW()-3)</f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si="3"/>
        <v/>
      </c>
    </row>
    <row r="129" spans="1:1" x14ac:dyDescent="0.35">
      <c r="A129" t="str">
        <f t="shared" si="3"/>
        <v/>
      </c>
    </row>
    <row r="130" spans="1:1" x14ac:dyDescent="0.35">
      <c r="A130" t="str">
        <f t="shared" si="3"/>
        <v/>
      </c>
    </row>
    <row r="131" spans="1:1" x14ac:dyDescent="0.35">
      <c r="A131" t="str">
        <f t="shared" si="3"/>
        <v/>
      </c>
    </row>
    <row r="132" spans="1:1" x14ac:dyDescent="0.35">
      <c r="A132" t="str">
        <f t="shared" ref="A132:A163" si="4">IF(B132="","","a"&amp;ROW()-3)</f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si="4"/>
        <v/>
      </c>
    </row>
    <row r="161" spans="1:1" x14ac:dyDescent="0.35">
      <c r="A161" t="str">
        <f t="shared" si="4"/>
        <v/>
      </c>
    </row>
    <row r="162" spans="1:1" x14ac:dyDescent="0.35">
      <c r="A162" t="str">
        <f t="shared" si="4"/>
        <v/>
      </c>
    </row>
    <row r="163" spans="1:1" x14ac:dyDescent="0.35">
      <c r="A163" t="str">
        <f t="shared" si="4"/>
        <v/>
      </c>
    </row>
    <row r="164" spans="1:1" x14ac:dyDescent="0.35">
      <c r="A164" t="str">
        <f t="shared" ref="A164:A195" si="5">IF(B164="","","a"&amp;ROW()-3)</f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si="5"/>
        <v/>
      </c>
    </row>
    <row r="193" spans="1:1" x14ac:dyDescent="0.35">
      <c r="A193" t="str">
        <f t="shared" si="5"/>
        <v/>
      </c>
    </row>
    <row r="194" spans="1:1" x14ac:dyDescent="0.35">
      <c r="A194" t="str">
        <f t="shared" si="5"/>
        <v/>
      </c>
    </row>
    <row r="195" spans="1:1" x14ac:dyDescent="0.35">
      <c r="A195" t="str">
        <f t="shared" si="5"/>
        <v/>
      </c>
    </row>
    <row r="196" spans="1:1" x14ac:dyDescent="0.35">
      <c r="A196" t="str">
        <f t="shared" ref="A196:A227" si="6">IF(B196="","","a"&amp;ROW()-3)</f>
        <v/>
      </c>
    </row>
    <row r="197" spans="1:1" x14ac:dyDescent="0.35">
      <c r="A197" t="str">
        <f t="shared" si="6"/>
        <v/>
      </c>
    </row>
    <row r="198" spans="1:1" x14ac:dyDescent="0.35">
      <c r="A198" t="str">
        <f t="shared" si="6"/>
        <v/>
      </c>
    </row>
    <row r="199" spans="1:1" x14ac:dyDescent="0.35">
      <c r="A199" t="str">
        <f t="shared" si="6"/>
        <v/>
      </c>
    </row>
    <row r="200" spans="1:1" x14ac:dyDescent="0.35">
      <c r="A200" t="str">
        <f t="shared" si="6"/>
        <v/>
      </c>
    </row>
  </sheetData>
  <dataValidations count="2">
    <dataValidation type="list" allowBlank="1" sqref="B4:B1000" xr:uid="{00000000-0002-0000-0500-000000000000}">
      <formula1>"call,meeting,email,task,note,other"</formula1>
    </dataValidation>
    <dataValidation type="list" allowBlank="1" sqref="I4:I1000" xr:uid="{00000000-0002-0000-0500-000004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500-000001000000}">
          <x14:formula1>
            <xm:f>'🤝 Clients'!$A$4:$A$200</xm:f>
          </x14:formula1>
          <xm:sqref>D4:D1000</xm:sqref>
        </x14:dataValidation>
        <x14:dataValidation type="list" allowBlank="1" xr:uid="{00000000-0002-0000-0500-000002000000}">
          <x14:formula1>
            <xm:f>'🏢 Companies'!$A$4:$A$200</xm:f>
          </x14:formula1>
          <xm:sqref>E4:E1000</xm:sqref>
        </x14:dataValidation>
        <x14:dataValidation type="list" allowBlank="1" xr:uid="{00000000-0002-0000-0500-000003000000}">
          <x14:formula1>
            <xm:f>'💼 Deals'!$A$4:$A$200</xm:f>
          </x14:formula1>
          <xm:sqref>F4:F1000</xm:sqref>
        </x14:dataValidation>
        <x14:dataValidation type="list" allowBlank="1" xr:uid="{00000000-0002-0000-0500-000005000000}">
          <x14:formula1>
            <xm:f>'👥 Consultants'!$A$4:$A$196</xm:f>
          </x14:formula1>
          <xm:sqref>J4:J1000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selection activeCell="C13" sqref="C13"/>
    </sheetView>
  </sheetViews>
  <sheetFormatPr defaultRowHeight="14.5" x14ac:dyDescent="0.35"/>
  <cols>
    <col min="1" max="1" width="10" customWidth="1"/>
    <col min="2" max="2" width="24" customWidth="1"/>
    <col min="3" max="3" width="28" customWidth="1"/>
    <col min="4" max="4" width="22" customWidth="1"/>
    <col min="5" max="5" width="20" customWidth="1"/>
    <col min="6" max="7" width="18" customWidth="1"/>
    <col min="8" max="9" width="16" customWidth="1"/>
    <col min="10" max="12" width="22" customWidth="1"/>
    <col min="13" max="13" width="50" customWidth="1"/>
  </cols>
  <sheetData>
    <row r="1" spans="1:14" x14ac:dyDescent="0.35">
      <c r="A1" s="2" t="s">
        <v>18</v>
      </c>
    </row>
    <row r="2" spans="1:14" x14ac:dyDescent="0.35">
      <c r="B2" s="3" t="s">
        <v>564</v>
      </c>
    </row>
    <row r="3" spans="1:14" ht="32" customHeight="1" x14ac:dyDescent="0.35">
      <c r="A3" s="4" t="s">
        <v>20</v>
      </c>
      <c r="B3" s="4" t="s">
        <v>21</v>
      </c>
      <c r="C3" s="4" t="s">
        <v>50</v>
      </c>
      <c r="D3" s="4" t="s">
        <v>565</v>
      </c>
      <c r="E3" s="4" t="s">
        <v>566</v>
      </c>
      <c r="F3" s="4" t="s">
        <v>567</v>
      </c>
      <c r="G3" s="4" t="s">
        <v>568</v>
      </c>
      <c r="H3" s="4" t="s">
        <v>569</v>
      </c>
      <c r="I3" s="4" t="s">
        <v>27</v>
      </c>
      <c r="J3" s="4" t="s">
        <v>570</v>
      </c>
      <c r="K3" s="4" t="s">
        <v>571</v>
      </c>
      <c r="L3" s="4" t="s">
        <v>572</v>
      </c>
      <c r="M3" s="4" t="s">
        <v>57</v>
      </c>
      <c r="N3" t="s">
        <v>573</v>
      </c>
    </row>
    <row r="4" spans="1:14" x14ac:dyDescent="0.35">
      <c r="A4" t="str">
        <f t="shared" ref="A4:A35" si="0">IF(B4="","","p"&amp;ROW()-3)</f>
        <v>p1</v>
      </c>
      <c r="B4" t="s">
        <v>574</v>
      </c>
      <c r="C4" t="s">
        <v>575</v>
      </c>
      <c r="D4" t="s">
        <v>576</v>
      </c>
      <c r="E4" t="s">
        <v>577</v>
      </c>
      <c r="F4" t="s">
        <v>392</v>
      </c>
      <c r="G4" t="s">
        <v>578</v>
      </c>
      <c r="H4" t="s">
        <v>349</v>
      </c>
      <c r="I4" t="s">
        <v>579</v>
      </c>
      <c r="M4" t="s">
        <v>580</v>
      </c>
      <c r="N4" t="s">
        <v>581</v>
      </c>
    </row>
    <row r="5" spans="1:14" x14ac:dyDescent="0.35">
      <c r="A5" t="str">
        <f t="shared" si="0"/>
        <v>p2</v>
      </c>
      <c r="B5" t="s">
        <v>582</v>
      </c>
      <c r="C5" t="s">
        <v>583</v>
      </c>
      <c r="D5" t="s">
        <v>584</v>
      </c>
      <c r="E5" t="s">
        <v>585</v>
      </c>
      <c r="F5" t="s">
        <v>392</v>
      </c>
      <c r="G5" t="s">
        <v>578</v>
      </c>
      <c r="H5" t="s">
        <v>586</v>
      </c>
      <c r="I5" t="s">
        <v>38</v>
      </c>
      <c r="M5" t="s">
        <v>587</v>
      </c>
      <c r="N5" t="s">
        <v>588</v>
      </c>
    </row>
    <row r="6" spans="1:14" x14ac:dyDescent="0.35">
      <c r="A6" t="str">
        <f t="shared" si="0"/>
        <v>p3</v>
      </c>
      <c r="B6" t="s">
        <v>589</v>
      </c>
      <c r="C6" t="s">
        <v>590</v>
      </c>
      <c r="D6" t="s">
        <v>591</v>
      </c>
      <c r="E6" t="s">
        <v>592</v>
      </c>
      <c r="F6" t="s">
        <v>593</v>
      </c>
      <c r="G6" t="s">
        <v>594</v>
      </c>
      <c r="H6" t="s">
        <v>595</v>
      </c>
      <c r="I6" t="s">
        <v>596</v>
      </c>
      <c r="M6" t="s">
        <v>597</v>
      </c>
      <c r="N6" t="s">
        <v>598</v>
      </c>
    </row>
    <row r="7" spans="1:14" x14ac:dyDescent="0.35">
      <c r="A7" t="str">
        <f t="shared" si="0"/>
        <v>p4</v>
      </c>
      <c r="B7" t="s">
        <v>599</v>
      </c>
      <c r="C7" t="s">
        <v>600</v>
      </c>
      <c r="D7" t="s">
        <v>576</v>
      </c>
      <c r="E7" t="s">
        <v>601</v>
      </c>
      <c r="F7" t="s">
        <v>392</v>
      </c>
      <c r="G7" t="s">
        <v>578</v>
      </c>
      <c r="H7" t="s">
        <v>349</v>
      </c>
      <c r="I7" t="s">
        <v>579</v>
      </c>
      <c r="M7" t="s">
        <v>602</v>
      </c>
      <c r="N7" t="s">
        <v>603</v>
      </c>
    </row>
    <row r="8" spans="1:14" x14ac:dyDescent="0.35">
      <c r="A8" t="str">
        <f t="shared" si="0"/>
        <v>p5</v>
      </c>
      <c r="B8" t="s">
        <v>604</v>
      </c>
      <c r="C8" t="s">
        <v>605</v>
      </c>
      <c r="D8" t="s">
        <v>606</v>
      </c>
      <c r="E8" t="s">
        <v>607</v>
      </c>
      <c r="F8" t="s">
        <v>608</v>
      </c>
      <c r="G8" t="s">
        <v>609</v>
      </c>
      <c r="H8" t="s">
        <v>595</v>
      </c>
      <c r="I8" t="s">
        <v>38</v>
      </c>
      <c r="M8" t="s">
        <v>610</v>
      </c>
      <c r="N8" t="s">
        <v>611</v>
      </c>
    </row>
    <row r="9" spans="1:14" x14ac:dyDescent="0.35">
      <c r="A9" t="str">
        <f t="shared" si="0"/>
        <v>p6</v>
      </c>
      <c r="B9" t="s">
        <v>612</v>
      </c>
      <c r="C9" t="s">
        <v>613</v>
      </c>
      <c r="D9" t="s">
        <v>614</v>
      </c>
      <c r="E9" t="s">
        <v>615</v>
      </c>
      <c r="F9" t="s">
        <v>616</v>
      </c>
      <c r="G9" t="s">
        <v>617</v>
      </c>
      <c r="H9" t="s">
        <v>595</v>
      </c>
      <c r="I9" t="s">
        <v>596</v>
      </c>
      <c r="M9" t="s">
        <v>618</v>
      </c>
      <c r="N9" t="s">
        <v>619</v>
      </c>
    </row>
    <row r="10" spans="1:14" x14ac:dyDescent="0.35">
      <c r="A10" t="str">
        <f t="shared" si="0"/>
        <v>p7</v>
      </c>
      <c r="B10" t="s">
        <v>620</v>
      </c>
      <c r="C10" t="s">
        <v>621</v>
      </c>
      <c r="D10" t="s">
        <v>622</v>
      </c>
      <c r="E10" t="s">
        <v>623</v>
      </c>
      <c r="F10" t="s">
        <v>624</v>
      </c>
      <c r="G10" t="s">
        <v>617</v>
      </c>
      <c r="H10" t="s">
        <v>349</v>
      </c>
      <c r="I10" t="s">
        <v>579</v>
      </c>
      <c r="M10" t="s">
        <v>625</v>
      </c>
      <c r="N10" t="s">
        <v>626</v>
      </c>
    </row>
    <row r="11" spans="1:14" x14ac:dyDescent="0.35">
      <c r="A11" t="str">
        <f t="shared" si="0"/>
        <v>p8</v>
      </c>
      <c r="B11" t="s">
        <v>627</v>
      </c>
      <c r="C11" t="s">
        <v>628</v>
      </c>
      <c r="D11" t="s">
        <v>576</v>
      </c>
      <c r="E11" t="s">
        <v>629</v>
      </c>
      <c r="F11" t="s">
        <v>488</v>
      </c>
      <c r="G11" t="s">
        <v>630</v>
      </c>
      <c r="H11" t="s">
        <v>595</v>
      </c>
      <c r="I11" t="s">
        <v>38</v>
      </c>
      <c r="M11" t="s">
        <v>631</v>
      </c>
      <c r="N11" t="s">
        <v>632</v>
      </c>
    </row>
    <row r="12" spans="1:14" x14ac:dyDescent="0.35">
      <c r="A12" t="str">
        <f t="shared" si="0"/>
        <v>p9</v>
      </c>
      <c r="B12" t="s">
        <v>633</v>
      </c>
      <c r="C12" t="s">
        <v>634</v>
      </c>
      <c r="D12" t="s">
        <v>635</v>
      </c>
      <c r="E12" t="s">
        <v>636</v>
      </c>
      <c r="F12" t="s">
        <v>448</v>
      </c>
      <c r="G12" t="s">
        <v>637</v>
      </c>
      <c r="H12" t="s">
        <v>349</v>
      </c>
      <c r="I12" t="s">
        <v>579</v>
      </c>
      <c r="M12" t="s">
        <v>638</v>
      </c>
      <c r="N12" t="s">
        <v>639</v>
      </c>
    </row>
    <row r="13" spans="1:14" x14ac:dyDescent="0.35">
      <c r="A13" t="str">
        <f t="shared" si="0"/>
        <v>p10</v>
      </c>
      <c r="B13" t="s">
        <v>640</v>
      </c>
      <c r="F13" t="s">
        <v>641</v>
      </c>
      <c r="G13" t="s">
        <v>642</v>
      </c>
    </row>
    <row r="14" spans="1:14" x14ac:dyDescent="0.35">
      <c r="A14" t="str">
        <f t="shared" si="0"/>
        <v>p11</v>
      </c>
      <c r="B14" t="s">
        <v>643</v>
      </c>
      <c r="C14" t="s">
        <v>644</v>
      </c>
      <c r="D14" t="s">
        <v>645</v>
      </c>
      <c r="E14" t="s">
        <v>658</v>
      </c>
      <c r="F14" t="s">
        <v>646</v>
      </c>
      <c r="G14" t="s">
        <v>647</v>
      </c>
      <c r="H14" t="s">
        <v>349</v>
      </c>
      <c r="I14" t="s">
        <v>648</v>
      </c>
    </row>
    <row r="15" spans="1:14" x14ac:dyDescent="0.35">
      <c r="A15" t="str">
        <f t="shared" si="0"/>
        <v/>
      </c>
    </row>
    <row r="16" spans="1:14" x14ac:dyDescent="0.35">
      <c r="A16" t="str">
        <f t="shared" si="0"/>
        <v/>
      </c>
    </row>
    <row r="17" spans="1:1" x14ac:dyDescent="0.35">
      <c r="A17" t="str">
        <f t="shared" si="0"/>
        <v/>
      </c>
    </row>
    <row r="18" spans="1:1" x14ac:dyDescent="0.35">
      <c r="A18" t="str">
        <f t="shared" si="0"/>
        <v/>
      </c>
    </row>
    <row r="19" spans="1:1" x14ac:dyDescent="0.35">
      <c r="A19" t="str">
        <f t="shared" si="0"/>
        <v/>
      </c>
    </row>
    <row r="20" spans="1:1" x14ac:dyDescent="0.35">
      <c r="A20" t="str">
        <f t="shared" si="0"/>
        <v/>
      </c>
    </row>
    <row r="21" spans="1:1" x14ac:dyDescent="0.35">
      <c r="A21" t="str">
        <f t="shared" si="0"/>
        <v/>
      </c>
    </row>
    <row r="22" spans="1:1" x14ac:dyDescent="0.35">
      <c r="A22" t="str">
        <f t="shared" si="0"/>
        <v/>
      </c>
    </row>
    <row r="23" spans="1:1" x14ac:dyDescent="0.35">
      <c r="A23" t="str">
        <f t="shared" si="0"/>
        <v/>
      </c>
    </row>
    <row r="24" spans="1:1" x14ac:dyDescent="0.35">
      <c r="A24" t="str">
        <f t="shared" si="0"/>
        <v/>
      </c>
    </row>
    <row r="25" spans="1:1" x14ac:dyDescent="0.35">
      <c r="A25" t="str">
        <f t="shared" si="0"/>
        <v/>
      </c>
    </row>
    <row r="26" spans="1:1" x14ac:dyDescent="0.35">
      <c r="A26" t="str">
        <f t="shared" si="0"/>
        <v/>
      </c>
    </row>
    <row r="27" spans="1:1" x14ac:dyDescent="0.35">
      <c r="A27" t="str">
        <f t="shared" si="0"/>
        <v/>
      </c>
    </row>
    <row r="28" spans="1:1" x14ac:dyDescent="0.35">
      <c r="A28" t="str">
        <f t="shared" si="0"/>
        <v/>
      </c>
    </row>
    <row r="29" spans="1:1" x14ac:dyDescent="0.35">
      <c r="A29" t="str">
        <f t="shared" si="0"/>
        <v/>
      </c>
    </row>
    <row r="30" spans="1:1" x14ac:dyDescent="0.35">
      <c r="A30" t="str">
        <f t="shared" si="0"/>
        <v/>
      </c>
    </row>
    <row r="31" spans="1:1" x14ac:dyDescent="0.35">
      <c r="A31" t="str">
        <f t="shared" si="0"/>
        <v/>
      </c>
    </row>
    <row r="32" spans="1:1" x14ac:dyDescent="0.35">
      <c r="A32" t="str">
        <f t="shared" si="0"/>
        <v/>
      </c>
    </row>
    <row r="33" spans="1:1" x14ac:dyDescent="0.35">
      <c r="A33" t="str">
        <f t="shared" si="0"/>
        <v/>
      </c>
    </row>
    <row r="34" spans="1:1" x14ac:dyDescent="0.35">
      <c r="A34" t="str">
        <f t="shared" si="0"/>
        <v/>
      </c>
    </row>
    <row r="35" spans="1:1" x14ac:dyDescent="0.35">
      <c r="A35" t="str">
        <f t="shared" si="0"/>
        <v/>
      </c>
    </row>
    <row r="36" spans="1:1" x14ac:dyDescent="0.35">
      <c r="A36" t="str">
        <f t="shared" ref="A36:A67" si="1">IF(B36="","","p"&amp;ROW()-3)</f>
        <v/>
      </c>
    </row>
    <row r="37" spans="1:1" x14ac:dyDescent="0.35">
      <c r="A37" t="str">
        <f t="shared" si="1"/>
        <v/>
      </c>
    </row>
    <row r="38" spans="1:1" x14ac:dyDescent="0.35">
      <c r="A38" t="str">
        <f t="shared" si="1"/>
        <v/>
      </c>
    </row>
    <row r="39" spans="1:1" x14ac:dyDescent="0.35">
      <c r="A39" t="str">
        <f t="shared" si="1"/>
        <v/>
      </c>
    </row>
    <row r="40" spans="1:1" x14ac:dyDescent="0.35">
      <c r="A40" t="str">
        <f t="shared" si="1"/>
        <v/>
      </c>
    </row>
    <row r="41" spans="1:1" x14ac:dyDescent="0.35">
      <c r="A41" t="str">
        <f t="shared" si="1"/>
        <v/>
      </c>
    </row>
    <row r="42" spans="1:1" x14ac:dyDescent="0.35">
      <c r="A42" t="str">
        <f t="shared" si="1"/>
        <v/>
      </c>
    </row>
    <row r="43" spans="1:1" x14ac:dyDescent="0.35">
      <c r="A43" t="str">
        <f t="shared" si="1"/>
        <v/>
      </c>
    </row>
    <row r="44" spans="1:1" x14ac:dyDescent="0.35">
      <c r="A44" t="str">
        <f t="shared" si="1"/>
        <v/>
      </c>
    </row>
    <row r="45" spans="1:1" x14ac:dyDescent="0.35">
      <c r="A45" t="str">
        <f t="shared" si="1"/>
        <v/>
      </c>
    </row>
    <row r="46" spans="1:1" x14ac:dyDescent="0.35">
      <c r="A46" t="str">
        <f t="shared" si="1"/>
        <v/>
      </c>
    </row>
    <row r="47" spans="1:1" x14ac:dyDescent="0.35">
      <c r="A47" t="str">
        <f t="shared" si="1"/>
        <v/>
      </c>
    </row>
    <row r="48" spans="1:1" x14ac:dyDescent="0.35">
      <c r="A48" t="str">
        <f t="shared" si="1"/>
        <v/>
      </c>
    </row>
    <row r="49" spans="1:1" x14ac:dyDescent="0.35">
      <c r="A49" t="str">
        <f t="shared" si="1"/>
        <v/>
      </c>
    </row>
    <row r="50" spans="1:1" x14ac:dyDescent="0.35">
      <c r="A50" t="str">
        <f t="shared" si="1"/>
        <v/>
      </c>
    </row>
    <row r="51" spans="1:1" x14ac:dyDescent="0.35">
      <c r="A51" t="str">
        <f t="shared" si="1"/>
        <v/>
      </c>
    </row>
    <row r="52" spans="1:1" x14ac:dyDescent="0.35">
      <c r="A52" t="str">
        <f t="shared" si="1"/>
        <v/>
      </c>
    </row>
    <row r="53" spans="1:1" x14ac:dyDescent="0.35">
      <c r="A53" t="str">
        <f t="shared" si="1"/>
        <v/>
      </c>
    </row>
    <row r="54" spans="1:1" x14ac:dyDescent="0.35">
      <c r="A54" t="str">
        <f t="shared" si="1"/>
        <v/>
      </c>
    </row>
    <row r="55" spans="1:1" x14ac:dyDescent="0.35">
      <c r="A55" t="str">
        <f t="shared" si="1"/>
        <v/>
      </c>
    </row>
    <row r="56" spans="1:1" x14ac:dyDescent="0.35">
      <c r="A56" t="str">
        <f t="shared" si="1"/>
        <v/>
      </c>
    </row>
    <row r="57" spans="1:1" x14ac:dyDescent="0.35">
      <c r="A57" t="str">
        <f t="shared" si="1"/>
        <v/>
      </c>
    </row>
    <row r="58" spans="1:1" x14ac:dyDescent="0.35">
      <c r="A58" t="str">
        <f t="shared" si="1"/>
        <v/>
      </c>
    </row>
    <row r="59" spans="1:1" x14ac:dyDescent="0.35">
      <c r="A59" t="str">
        <f t="shared" si="1"/>
        <v/>
      </c>
    </row>
    <row r="60" spans="1:1" x14ac:dyDescent="0.35">
      <c r="A60" t="str">
        <f t="shared" si="1"/>
        <v/>
      </c>
    </row>
    <row r="61" spans="1:1" x14ac:dyDescent="0.35">
      <c r="A61" t="str">
        <f t="shared" si="1"/>
        <v/>
      </c>
    </row>
    <row r="62" spans="1:1" x14ac:dyDescent="0.35">
      <c r="A62" t="str">
        <f t="shared" si="1"/>
        <v/>
      </c>
    </row>
    <row r="63" spans="1:1" x14ac:dyDescent="0.35">
      <c r="A63" t="str">
        <f t="shared" si="1"/>
        <v/>
      </c>
    </row>
    <row r="64" spans="1:1" x14ac:dyDescent="0.35">
      <c r="A64" t="str">
        <f t="shared" si="1"/>
        <v/>
      </c>
    </row>
    <row r="65" spans="1:1" x14ac:dyDescent="0.35">
      <c r="A65" t="str">
        <f t="shared" si="1"/>
        <v/>
      </c>
    </row>
    <row r="66" spans="1:1" x14ac:dyDescent="0.35">
      <c r="A66" t="str">
        <f t="shared" si="1"/>
        <v/>
      </c>
    </row>
    <row r="67" spans="1:1" x14ac:dyDescent="0.35">
      <c r="A67" t="str">
        <f t="shared" si="1"/>
        <v/>
      </c>
    </row>
    <row r="68" spans="1:1" x14ac:dyDescent="0.35">
      <c r="A68" t="str">
        <f t="shared" ref="A68:A99" si="2">IF(B68="","","p"&amp;ROW()-3)</f>
        <v/>
      </c>
    </row>
    <row r="69" spans="1:1" x14ac:dyDescent="0.35">
      <c r="A69" t="str">
        <f t="shared" si="2"/>
        <v/>
      </c>
    </row>
    <row r="70" spans="1:1" x14ac:dyDescent="0.35">
      <c r="A70" t="str">
        <f t="shared" si="2"/>
        <v/>
      </c>
    </row>
    <row r="71" spans="1:1" x14ac:dyDescent="0.35">
      <c r="A71" t="str">
        <f t="shared" si="2"/>
        <v/>
      </c>
    </row>
    <row r="72" spans="1:1" x14ac:dyDescent="0.35">
      <c r="A72" t="str">
        <f t="shared" si="2"/>
        <v/>
      </c>
    </row>
    <row r="73" spans="1:1" x14ac:dyDescent="0.35">
      <c r="A73" t="str">
        <f t="shared" si="2"/>
        <v/>
      </c>
    </row>
    <row r="74" spans="1:1" x14ac:dyDescent="0.35">
      <c r="A74" t="str">
        <f t="shared" si="2"/>
        <v/>
      </c>
    </row>
    <row r="75" spans="1:1" x14ac:dyDescent="0.35">
      <c r="A75" t="str">
        <f t="shared" si="2"/>
        <v/>
      </c>
    </row>
    <row r="76" spans="1:1" x14ac:dyDescent="0.35">
      <c r="A76" t="str">
        <f t="shared" si="2"/>
        <v/>
      </c>
    </row>
    <row r="77" spans="1:1" x14ac:dyDescent="0.35">
      <c r="A77" t="str">
        <f t="shared" si="2"/>
        <v/>
      </c>
    </row>
    <row r="78" spans="1:1" x14ac:dyDescent="0.35">
      <c r="A78" t="str">
        <f t="shared" si="2"/>
        <v/>
      </c>
    </row>
    <row r="79" spans="1:1" x14ac:dyDescent="0.35">
      <c r="A79" t="str">
        <f t="shared" si="2"/>
        <v/>
      </c>
    </row>
    <row r="80" spans="1:1" x14ac:dyDescent="0.35">
      <c r="A80" t="str">
        <f t="shared" si="2"/>
        <v/>
      </c>
    </row>
    <row r="81" spans="1:1" x14ac:dyDescent="0.35">
      <c r="A81" t="str">
        <f t="shared" si="2"/>
        <v/>
      </c>
    </row>
    <row r="82" spans="1:1" x14ac:dyDescent="0.35">
      <c r="A82" t="str">
        <f t="shared" si="2"/>
        <v/>
      </c>
    </row>
    <row r="83" spans="1:1" x14ac:dyDescent="0.35">
      <c r="A83" t="str">
        <f t="shared" si="2"/>
        <v/>
      </c>
    </row>
    <row r="84" spans="1:1" x14ac:dyDescent="0.35">
      <c r="A84" t="str">
        <f t="shared" si="2"/>
        <v/>
      </c>
    </row>
    <row r="85" spans="1:1" x14ac:dyDescent="0.35">
      <c r="A85" t="str">
        <f t="shared" si="2"/>
        <v/>
      </c>
    </row>
    <row r="86" spans="1:1" x14ac:dyDescent="0.35">
      <c r="A86" t="str">
        <f t="shared" si="2"/>
        <v/>
      </c>
    </row>
    <row r="87" spans="1:1" x14ac:dyDescent="0.35">
      <c r="A87" t="str">
        <f t="shared" si="2"/>
        <v/>
      </c>
    </row>
    <row r="88" spans="1:1" x14ac:dyDescent="0.35">
      <c r="A88" t="str">
        <f t="shared" si="2"/>
        <v/>
      </c>
    </row>
    <row r="89" spans="1:1" x14ac:dyDescent="0.35">
      <c r="A89" t="str">
        <f t="shared" si="2"/>
        <v/>
      </c>
    </row>
    <row r="90" spans="1:1" x14ac:dyDescent="0.35">
      <c r="A90" t="str">
        <f t="shared" si="2"/>
        <v/>
      </c>
    </row>
    <row r="91" spans="1:1" x14ac:dyDescent="0.35">
      <c r="A91" t="str">
        <f t="shared" si="2"/>
        <v/>
      </c>
    </row>
    <row r="92" spans="1:1" x14ac:dyDescent="0.35">
      <c r="A92" t="str">
        <f t="shared" si="2"/>
        <v/>
      </c>
    </row>
    <row r="93" spans="1:1" x14ac:dyDescent="0.35">
      <c r="A93" t="str">
        <f t="shared" si="2"/>
        <v/>
      </c>
    </row>
    <row r="94" spans="1:1" x14ac:dyDescent="0.35">
      <c r="A94" t="str">
        <f t="shared" si="2"/>
        <v/>
      </c>
    </row>
    <row r="95" spans="1:1" x14ac:dyDescent="0.35">
      <c r="A95" t="str">
        <f t="shared" si="2"/>
        <v/>
      </c>
    </row>
    <row r="96" spans="1:1" x14ac:dyDescent="0.35">
      <c r="A96" t="str">
        <f t="shared" si="2"/>
        <v/>
      </c>
    </row>
    <row r="97" spans="1:1" x14ac:dyDescent="0.35">
      <c r="A97" t="str">
        <f t="shared" si="2"/>
        <v/>
      </c>
    </row>
    <row r="98" spans="1:1" x14ac:dyDescent="0.35">
      <c r="A98" t="str">
        <f t="shared" si="2"/>
        <v/>
      </c>
    </row>
    <row r="99" spans="1:1" x14ac:dyDescent="0.35">
      <c r="A99" t="str">
        <f t="shared" si="2"/>
        <v/>
      </c>
    </row>
    <row r="100" spans="1:1" x14ac:dyDescent="0.35">
      <c r="A100" t="str">
        <f t="shared" ref="A100:A131" si="3">IF(B100="","","p"&amp;ROW()-3)</f>
        <v/>
      </c>
    </row>
    <row r="101" spans="1:1" x14ac:dyDescent="0.35">
      <c r="A101" t="str">
        <f t="shared" si="3"/>
        <v/>
      </c>
    </row>
    <row r="102" spans="1:1" x14ac:dyDescent="0.35">
      <c r="A102" t="str">
        <f t="shared" si="3"/>
        <v/>
      </c>
    </row>
    <row r="103" spans="1:1" x14ac:dyDescent="0.35">
      <c r="A103" t="str">
        <f t="shared" si="3"/>
        <v/>
      </c>
    </row>
    <row r="104" spans="1:1" x14ac:dyDescent="0.35">
      <c r="A104" t="str">
        <f t="shared" si="3"/>
        <v/>
      </c>
    </row>
    <row r="105" spans="1:1" x14ac:dyDescent="0.35">
      <c r="A105" t="str">
        <f t="shared" si="3"/>
        <v/>
      </c>
    </row>
    <row r="106" spans="1:1" x14ac:dyDescent="0.35">
      <c r="A106" t="str">
        <f t="shared" si="3"/>
        <v/>
      </c>
    </row>
    <row r="107" spans="1:1" x14ac:dyDescent="0.35">
      <c r="A107" t="str">
        <f t="shared" si="3"/>
        <v/>
      </c>
    </row>
    <row r="108" spans="1:1" x14ac:dyDescent="0.35">
      <c r="A108" t="str">
        <f t="shared" si="3"/>
        <v/>
      </c>
    </row>
    <row r="109" spans="1:1" x14ac:dyDescent="0.35">
      <c r="A109" t="str">
        <f t="shared" si="3"/>
        <v/>
      </c>
    </row>
    <row r="110" spans="1:1" x14ac:dyDescent="0.35">
      <c r="A110" t="str">
        <f t="shared" si="3"/>
        <v/>
      </c>
    </row>
    <row r="111" spans="1:1" x14ac:dyDescent="0.35">
      <c r="A111" t="str">
        <f t="shared" si="3"/>
        <v/>
      </c>
    </row>
    <row r="112" spans="1:1" x14ac:dyDescent="0.35">
      <c r="A112" t="str">
        <f t="shared" si="3"/>
        <v/>
      </c>
    </row>
    <row r="113" spans="1:1" x14ac:dyDescent="0.35">
      <c r="A113" t="str">
        <f t="shared" si="3"/>
        <v/>
      </c>
    </row>
    <row r="114" spans="1:1" x14ac:dyDescent="0.35">
      <c r="A114" t="str">
        <f t="shared" si="3"/>
        <v/>
      </c>
    </row>
    <row r="115" spans="1:1" x14ac:dyDescent="0.35">
      <c r="A115" t="str">
        <f t="shared" si="3"/>
        <v/>
      </c>
    </row>
    <row r="116" spans="1:1" x14ac:dyDescent="0.35">
      <c r="A116" t="str">
        <f t="shared" si="3"/>
        <v/>
      </c>
    </row>
    <row r="117" spans="1:1" x14ac:dyDescent="0.35">
      <c r="A117" t="str">
        <f t="shared" si="3"/>
        <v/>
      </c>
    </row>
    <row r="118" spans="1:1" x14ac:dyDescent="0.35">
      <c r="A118" t="str">
        <f t="shared" si="3"/>
        <v/>
      </c>
    </row>
    <row r="119" spans="1:1" x14ac:dyDescent="0.35">
      <c r="A119" t="str">
        <f t="shared" si="3"/>
        <v/>
      </c>
    </row>
    <row r="120" spans="1:1" x14ac:dyDescent="0.35">
      <c r="A120" t="str">
        <f t="shared" si="3"/>
        <v/>
      </c>
    </row>
    <row r="121" spans="1:1" x14ac:dyDescent="0.35">
      <c r="A121" t="str">
        <f t="shared" si="3"/>
        <v/>
      </c>
    </row>
    <row r="122" spans="1:1" x14ac:dyDescent="0.35">
      <c r="A122" t="str">
        <f t="shared" si="3"/>
        <v/>
      </c>
    </row>
    <row r="123" spans="1:1" x14ac:dyDescent="0.35">
      <c r="A123" t="str">
        <f t="shared" si="3"/>
        <v/>
      </c>
    </row>
    <row r="124" spans="1:1" x14ac:dyDescent="0.35">
      <c r="A124" t="str">
        <f t="shared" si="3"/>
        <v/>
      </c>
    </row>
    <row r="125" spans="1:1" x14ac:dyDescent="0.35">
      <c r="A125" t="str">
        <f t="shared" si="3"/>
        <v/>
      </c>
    </row>
    <row r="126" spans="1:1" x14ac:dyDescent="0.35">
      <c r="A126" t="str">
        <f t="shared" si="3"/>
        <v/>
      </c>
    </row>
    <row r="127" spans="1:1" x14ac:dyDescent="0.35">
      <c r="A127" t="str">
        <f t="shared" si="3"/>
        <v/>
      </c>
    </row>
    <row r="128" spans="1:1" x14ac:dyDescent="0.35">
      <c r="A128" t="str">
        <f t="shared" si="3"/>
        <v/>
      </c>
    </row>
    <row r="129" spans="1:1" x14ac:dyDescent="0.35">
      <c r="A129" t="str">
        <f t="shared" si="3"/>
        <v/>
      </c>
    </row>
    <row r="130" spans="1:1" x14ac:dyDescent="0.35">
      <c r="A130" t="str">
        <f t="shared" si="3"/>
        <v/>
      </c>
    </row>
    <row r="131" spans="1:1" x14ac:dyDescent="0.35">
      <c r="A131" t="str">
        <f t="shared" si="3"/>
        <v/>
      </c>
    </row>
    <row r="132" spans="1:1" x14ac:dyDescent="0.35">
      <c r="A132" t="str">
        <f t="shared" ref="A132:A163" si="4">IF(B132="","","p"&amp;ROW()-3)</f>
        <v/>
      </c>
    </row>
    <row r="133" spans="1:1" x14ac:dyDescent="0.35">
      <c r="A133" t="str">
        <f t="shared" si="4"/>
        <v/>
      </c>
    </row>
    <row r="134" spans="1:1" x14ac:dyDescent="0.35">
      <c r="A134" t="str">
        <f t="shared" si="4"/>
        <v/>
      </c>
    </row>
    <row r="135" spans="1:1" x14ac:dyDescent="0.35">
      <c r="A135" t="str">
        <f t="shared" si="4"/>
        <v/>
      </c>
    </row>
    <row r="136" spans="1:1" x14ac:dyDescent="0.35">
      <c r="A136" t="str">
        <f t="shared" si="4"/>
        <v/>
      </c>
    </row>
    <row r="137" spans="1:1" x14ac:dyDescent="0.35">
      <c r="A137" t="str">
        <f t="shared" si="4"/>
        <v/>
      </c>
    </row>
    <row r="138" spans="1:1" x14ac:dyDescent="0.35">
      <c r="A138" t="str">
        <f t="shared" si="4"/>
        <v/>
      </c>
    </row>
    <row r="139" spans="1:1" x14ac:dyDescent="0.35">
      <c r="A139" t="str">
        <f t="shared" si="4"/>
        <v/>
      </c>
    </row>
    <row r="140" spans="1:1" x14ac:dyDescent="0.35">
      <c r="A140" t="str">
        <f t="shared" si="4"/>
        <v/>
      </c>
    </row>
    <row r="141" spans="1:1" x14ac:dyDescent="0.35">
      <c r="A141" t="str">
        <f t="shared" si="4"/>
        <v/>
      </c>
    </row>
    <row r="142" spans="1:1" x14ac:dyDescent="0.35">
      <c r="A142" t="str">
        <f t="shared" si="4"/>
        <v/>
      </c>
    </row>
    <row r="143" spans="1:1" x14ac:dyDescent="0.35">
      <c r="A143" t="str">
        <f t="shared" si="4"/>
        <v/>
      </c>
    </row>
    <row r="144" spans="1:1" x14ac:dyDescent="0.35">
      <c r="A144" t="str">
        <f t="shared" si="4"/>
        <v/>
      </c>
    </row>
    <row r="145" spans="1:1" x14ac:dyDescent="0.35">
      <c r="A145" t="str">
        <f t="shared" si="4"/>
        <v/>
      </c>
    </row>
    <row r="146" spans="1:1" x14ac:dyDescent="0.35">
      <c r="A146" t="str">
        <f t="shared" si="4"/>
        <v/>
      </c>
    </row>
    <row r="147" spans="1:1" x14ac:dyDescent="0.35">
      <c r="A147" t="str">
        <f t="shared" si="4"/>
        <v/>
      </c>
    </row>
    <row r="148" spans="1:1" x14ac:dyDescent="0.35">
      <c r="A148" t="str">
        <f t="shared" si="4"/>
        <v/>
      </c>
    </row>
    <row r="149" spans="1:1" x14ac:dyDescent="0.35">
      <c r="A149" t="str">
        <f t="shared" si="4"/>
        <v/>
      </c>
    </row>
    <row r="150" spans="1:1" x14ac:dyDescent="0.35">
      <c r="A150" t="str">
        <f t="shared" si="4"/>
        <v/>
      </c>
    </row>
    <row r="151" spans="1:1" x14ac:dyDescent="0.35">
      <c r="A151" t="str">
        <f t="shared" si="4"/>
        <v/>
      </c>
    </row>
    <row r="152" spans="1:1" x14ac:dyDescent="0.35">
      <c r="A152" t="str">
        <f t="shared" si="4"/>
        <v/>
      </c>
    </row>
    <row r="153" spans="1:1" x14ac:dyDescent="0.35">
      <c r="A153" t="str">
        <f t="shared" si="4"/>
        <v/>
      </c>
    </row>
    <row r="154" spans="1:1" x14ac:dyDescent="0.35">
      <c r="A154" t="str">
        <f t="shared" si="4"/>
        <v/>
      </c>
    </row>
    <row r="155" spans="1:1" x14ac:dyDescent="0.35">
      <c r="A155" t="str">
        <f t="shared" si="4"/>
        <v/>
      </c>
    </row>
    <row r="156" spans="1:1" x14ac:dyDescent="0.35">
      <c r="A156" t="str">
        <f t="shared" si="4"/>
        <v/>
      </c>
    </row>
    <row r="157" spans="1:1" x14ac:dyDescent="0.35">
      <c r="A157" t="str">
        <f t="shared" si="4"/>
        <v/>
      </c>
    </row>
    <row r="158" spans="1:1" x14ac:dyDescent="0.35">
      <c r="A158" t="str">
        <f t="shared" si="4"/>
        <v/>
      </c>
    </row>
    <row r="159" spans="1:1" x14ac:dyDescent="0.35">
      <c r="A159" t="str">
        <f t="shared" si="4"/>
        <v/>
      </c>
    </row>
    <row r="160" spans="1:1" x14ac:dyDescent="0.35">
      <c r="A160" t="str">
        <f t="shared" si="4"/>
        <v/>
      </c>
    </row>
    <row r="161" spans="1:1" x14ac:dyDescent="0.35">
      <c r="A161" t="str">
        <f t="shared" si="4"/>
        <v/>
      </c>
    </row>
    <row r="162" spans="1:1" x14ac:dyDescent="0.35">
      <c r="A162" t="str">
        <f t="shared" si="4"/>
        <v/>
      </c>
    </row>
    <row r="163" spans="1:1" x14ac:dyDescent="0.35">
      <c r="A163" t="str">
        <f t="shared" si="4"/>
        <v/>
      </c>
    </row>
    <row r="164" spans="1:1" x14ac:dyDescent="0.35">
      <c r="A164" t="str">
        <f t="shared" ref="A164:A195" si="5">IF(B164="","","p"&amp;ROW()-3)</f>
        <v/>
      </c>
    </row>
    <row r="165" spans="1:1" x14ac:dyDescent="0.35">
      <c r="A165" t="str">
        <f t="shared" si="5"/>
        <v/>
      </c>
    </row>
    <row r="166" spans="1:1" x14ac:dyDescent="0.35">
      <c r="A166" t="str">
        <f t="shared" si="5"/>
        <v/>
      </c>
    </row>
    <row r="167" spans="1:1" x14ac:dyDescent="0.35">
      <c r="A167" t="str">
        <f t="shared" si="5"/>
        <v/>
      </c>
    </row>
    <row r="168" spans="1:1" x14ac:dyDescent="0.35">
      <c r="A168" t="str">
        <f t="shared" si="5"/>
        <v/>
      </c>
    </row>
    <row r="169" spans="1:1" x14ac:dyDescent="0.35">
      <c r="A169" t="str">
        <f t="shared" si="5"/>
        <v/>
      </c>
    </row>
    <row r="170" spans="1:1" x14ac:dyDescent="0.35">
      <c r="A170" t="str">
        <f t="shared" si="5"/>
        <v/>
      </c>
    </row>
    <row r="171" spans="1:1" x14ac:dyDescent="0.35">
      <c r="A171" t="str">
        <f t="shared" si="5"/>
        <v/>
      </c>
    </row>
    <row r="172" spans="1:1" x14ac:dyDescent="0.35">
      <c r="A172" t="str">
        <f t="shared" si="5"/>
        <v/>
      </c>
    </row>
    <row r="173" spans="1:1" x14ac:dyDescent="0.35">
      <c r="A173" t="str">
        <f t="shared" si="5"/>
        <v/>
      </c>
    </row>
    <row r="174" spans="1:1" x14ac:dyDescent="0.35">
      <c r="A174" t="str">
        <f t="shared" si="5"/>
        <v/>
      </c>
    </row>
    <row r="175" spans="1:1" x14ac:dyDescent="0.35">
      <c r="A175" t="str">
        <f t="shared" si="5"/>
        <v/>
      </c>
    </row>
    <row r="176" spans="1:1" x14ac:dyDescent="0.35">
      <c r="A176" t="str">
        <f t="shared" si="5"/>
        <v/>
      </c>
    </row>
    <row r="177" spans="1:1" x14ac:dyDescent="0.35">
      <c r="A177" t="str">
        <f t="shared" si="5"/>
        <v/>
      </c>
    </row>
    <row r="178" spans="1:1" x14ac:dyDescent="0.35">
      <c r="A178" t="str">
        <f t="shared" si="5"/>
        <v/>
      </c>
    </row>
    <row r="179" spans="1:1" x14ac:dyDescent="0.35">
      <c r="A179" t="str">
        <f t="shared" si="5"/>
        <v/>
      </c>
    </row>
    <row r="180" spans="1:1" x14ac:dyDescent="0.35">
      <c r="A180" t="str">
        <f t="shared" si="5"/>
        <v/>
      </c>
    </row>
    <row r="181" spans="1:1" x14ac:dyDescent="0.35">
      <c r="A181" t="str">
        <f t="shared" si="5"/>
        <v/>
      </c>
    </row>
    <row r="182" spans="1:1" x14ac:dyDescent="0.35">
      <c r="A182" t="str">
        <f t="shared" si="5"/>
        <v/>
      </c>
    </row>
    <row r="183" spans="1:1" x14ac:dyDescent="0.35">
      <c r="A183" t="str">
        <f t="shared" si="5"/>
        <v/>
      </c>
    </row>
    <row r="184" spans="1:1" x14ac:dyDescent="0.35">
      <c r="A184" t="str">
        <f t="shared" si="5"/>
        <v/>
      </c>
    </row>
    <row r="185" spans="1:1" x14ac:dyDescent="0.35">
      <c r="A185" t="str">
        <f t="shared" si="5"/>
        <v/>
      </c>
    </row>
    <row r="186" spans="1:1" x14ac:dyDescent="0.35">
      <c r="A186" t="str">
        <f t="shared" si="5"/>
        <v/>
      </c>
    </row>
    <row r="187" spans="1:1" x14ac:dyDescent="0.35">
      <c r="A187" t="str">
        <f t="shared" si="5"/>
        <v/>
      </c>
    </row>
    <row r="188" spans="1:1" x14ac:dyDescent="0.35">
      <c r="A188" t="str">
        <f t="shared" si="5"/>
        <v/>
      </c>
    </row>
    <row r="189" spans="1:1" x14ac:dyDescent="0.35">
      <c r="A189" t="str">
        <f t="shared" si="5"/>
        <v/>
      </c>
    </row>
    <row r="190" spans="1:1" x14ac:dyDescent="0.35">
      <c r="A190" t="str">
        <f t="shared" si="5"/>
        <v/>
      </c>
    </row>
    <row r="191" spans="1:1" x14ac:dyDescent="0.35">
      <c r="A191" t="str">
        <f t="shared" si="5"/>
        <v/>
      </c>
    </row>
    <row r="192" spans="1:1" x14ac:dyDescent="0.35">
      <c r="A192" t="str">
        <f t="shared" si="5"/>
        <v/>
      </c>
    </row>
    <row r="193" spans="1:1" x14ac:dyDescent="0.35">
      <c r="A193" t="str">
        <f t="shared" si="5"/>
        <v/>
      </c>
    </row>
    <row r="194" spans="1:1" x14ac:dyDescent="0.35">
      <c r="A194" t="str">
        <f t="shared" si="5"/>
        <v/>
      </c>
    </row>
    <row r="195" spans="1:1" x14ac:dyDescent="0.35">
      <c r="A195" t="str">
        <f t="shared" si="5"/>
        <v/>
      </c>
    </row>
    <row r="196" spans="1:1" x14ac:dyDescent="0.35">
      <c r="A196" t="str">
        <f t="shared" ref="A196:A227" si="6">IF(B196="","","p"&amp;ROW()-3)</f>
        <v/>
      </c>
    </row>
    <row r="197" spans="1:1" x14ac:dyDescent="0.35">
      <c r="A197" t="str">
        <f t="shared" si="6"/>
        <v/>
      </c>
    </row>
    <row r="198" spans="1:1" x14ac:dyDescent="0.35">
      <c r="A198" t="str">
        <f t="shared" si="6"/>
        <v/>
      </c>
    </row>
    <row r="199" spans="1:1" x14ac:dyDescent="0.35">
      <c r="A199" t="str">
        <f t="shared" si="6"/>
        <v/>
      </c>
    </row>
    <row r="200" spans="1:1" x14ac:dyDescent="0.35">
      <c r="A200" t="str">
        <f t="shared" si="6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'👥 Consultants'!$A$4:$A$196</xm:f>
          </x14:formula1>
          <xm:sqref>H4:H1000 J4:J1000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Instructions</vt:lpstr>
      <vt:lpstr>👥 Consultants</vt:lpstr>
      <vt:lpstr>🤝 Clients</vt:lpstr>
      <vt:lpstr>🏢 Companies</vt:lpstr>
      <vt:lpstr>💼 Deals</vt:lpstr>
      <vt:lpstr>📋 Activities</vt:lpstr>
      <vt:lpstr>🎓 Pupilos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Sanz Diez</cp:lastModifiedBy>
  <dcterms:created xsi:type="dcterms:W3CDTF">2026-05-04T21:57:18Z</dcterms:created>
  <dcterms:modified xsi:type="dcterms:W3CDTF">2026-05-11T01:11:25Z</dcterms:modified>
</cp:coreProperties>
</file>